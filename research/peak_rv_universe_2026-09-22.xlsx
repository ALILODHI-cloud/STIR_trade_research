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andidate_Trades" sheetId="3" state="visible" r:id="rId3"/>
    <sheet xmlns:r="http://schemas.openxmlformats.org/officeDocument/2006/relationships" name="Raw_Series" sheetId="4" state="visible" r:id="rId4"/>
    <sheet xmlns:r="http://schemas.openxmlformats.org/officeDocument/2006/relationships" name="Difference_Matrix" sheetId="5" state="visible" r:id="rId5"/>
    <sheet xmlns:r="http://schemas.openxmlformats.org/officeDocument/2006/relationships" name="Outrights" sheetId="6" state="visible" r:id="rId6"/>
    <sheet xmlns:r="http://schemas.openxmlformats.org/officeDocument/2006/relationships" name="Ordered_Diffs" sheetId="7" state="visible" r:id="rId7"/>
    <sheet xmlns:r="http://schemas.openxmlformats.org/officeDocument/2006/relationships" name="Unique_Pairs" sheetId="8" state="visible" r:id="rId8"/>
    <sheet xmlns:r="http://schemas.openxmlformats.org/officeDocument/2006/relationships" name="Pair_Sums" sheetId="9" state="visible" r:id="rId9"/>
    <sheet xmlns:r="http://schemas.openxmlformats.org/officeDocument/2006/relationships" name="Ratios" sheetId="10" state="visible" r:id="rId10"/>
    <sheet xmlns:r="http://schemas.openxmlformats.org/officeDocument/2006/relationships" name="All_Combinations" sheetId="11" state="visible" r:id="rId11"/>
    <sheet xmlns:r="http://schemas.openxmlformats.org/officeDocument/2006/relationships" name="Canonical_RV" sheetId="12" state="visible" r:id="rId12"/>
    <sheet xmlns:r="http://schemas.openxmlformats.org/officeDocument/2006/relationships" name="Corr_Changes" sheetId="13" state="visible" r:id="rId13"/>
    <sheet xmlns:r="http://schemas.openxmlformats.org/officeDocument/2006/relationships" name="Beta_Changes" sheetId="14" state="visible" r:id="rId14"/>
  </sheets>
  <definedNames>
    <definedName name="_xlnm._FilterDatabase" localSheetId="2" hidden="1">'Candidate_Trades'!$A$1:$M$7</definedName>
    <definedName name="_xlnm._FilterDatabase" localSheetId="3" hidden="1">'Raw_Series'!$A$1:$L$142</definedName>
    <definedName name="_xlnm._FilterDatabase" localSheetId="5" hidden="1">'Outrights'!$A$1:$AC$5</definedName>
    <definedName name="_xlnm._FilterDatabase" localSheetId="6" hidden="1">'Ordered_Diffs'!$A$1:$AI$13</definedName>
    <definedName name="_xlnm._FilterDatabase" localSheetId="7" hidden="1">'Unique_Pairs'!$A$1:$AC$7</definedName>
    <definedName name="_xlnm._FilterDatabase" localSheetId="8" hidden="1">'Pair_Sums'!$A$1:$AA$7</definedName>
    <definedName name="_xlnm._FilterDatabase" localSheetId="9" hidden="1">'Ratios'!$A$1:$AC$13</definedName>
    <definedName name="_xlnm._FilterDatabase" localSheetId="10" hidden="1">'All_Combinations'!$A$1:$AJ$41</definedName>
    <definedName name="_xlnm._FilterDatabase" localSheetId="11" hidden="1">'Canonical_RV'!$A$1:$AA$11</definedName>
    <definedName name="_xlnm._FilterDatabase" localSheetId="12" hidden="1">'Corr_Changes'!$A$1:$E$5</definedName>
    <definedName name="_xlnm._FilterDatabase" localSheetId="13" hidden="1">'Beta_Changes'!$A$1:$E$5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4213D"/>
    </font>
    <font>
      <b val="1"/>
      <color rgb="0014213D"/>
      <sz val="14"/>
    </font>
    <font>
      <b val="1"/>
    </font>
    <font>
      <b val="1"/>
      <color rgb="00FFFFFF"/>
    </font>
    <font>
      <b val="1"/>
      <color rgb="00FFFFFF"/>
      <sz val="16"/>
    </font>
    <font>
      <b val="1"/>
      <color rgb="0014213D"/>
      <sz val="13"/>
    </font>
  </fonts>
  <fills count="6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7F9FC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2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2" pivotButton="0" quotePrefix="0" xfId="0"/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Four primitive strips since March 2026</a:t>
            </a:r>
          </a:p>
        </rich>
      </tx>
    </title>
    <plotArea>
      <lineChart>
        <grouping val="standard"/>
        <ser>
          <idx val="0"/>
          <order val="0"/>
          <tx>
            <strRef>
              <f>'Raw_Series'!I1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'Raw_Series'!$A$2:$A$142</f>
            </numRef>
          </cat>
          <val>
            <numRef>
              <f>'Raw_Series'!$I$2:$I$142</f>
            </numRef>
          </val>
        </ser>
        <ser>
          <idx val="1"/>
          <order val="1"/>
          <tx>
            <strRef>
              <f>'Raw_Series'!J1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'Raw_Series'!$A$2:$A$142</f>
            </numRef>
          </cat>
          <val>
            <numRef>
              <f>'Raw_Series'!$J$2:$J$142</f>
            </numRef>
          </val>
        </ser>
        <ser>
          <idx val="2"/>
          <order val="2"/>
          <tx>
            <strRef>
              <f>'Raw_Series'!K1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'Raw_Series'!$A$2:$A$142</f>
            </numRef>
          </cat>
          <val>
            <numRef>
              <f>'Raw_Series'!$K$2:$K$142</f>
            </numRef>
          </val>
        </ser>
        <ser>
          <idx val="3"/>
          <order val="3"/>
          <tx>
            <strRef>
              <f>'Raw_Series'!L1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'Raw_Series'!$A$2:$A$142</f>
            </numRef>
          </cat>
          <val>
            <numRef>
              <f>'Raw_Series'!$L$2:$L$142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Cursor</author>
  </authors>
  <commentList>
    <comment ref="A1" authorId="0" shapeId="0">
      <text>
        <t>Corr_Changes: correlation of daily changes. Beta_Changes: no-intercept OLS beta of row change on column change.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A1" authorId="0" shapeId="0">
      <text>
        <t>Corr_Changes: correlation of daily changes. Beta_Changes: no-intercept OLS beta of row change on column change.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GBP/EUR peak buildup &amp; reversal RV universe</t>
        </is>
      </c>
    </row>
    <row r="3" ht="35" customHeight="1">
      <c r="A3" s="2" t="inlineStr">
        <is>
          <t>As of</t>
        </is>
      </c>
      <c r="B3" s="3" t="inlineStr">
        <is>
          <t>2026-09-22</t>
        </is>
      </c>
    </row>
    <row r="4" ht="35" customHeight="1">
      <c r="A4" s="2" t="inlineStr">
        <is>
          <t>Sample</t>
        </is>
      </c>
      <c r="B4" s="3" t="inlineStr">
        <is>
          <t>2026-03-02 to 2026-09-22; 141 common sessions</t>
        </is>
      </c>
    </row>
    <row r="5" ht="35" customHeight="1">
      <c r="A5" s="2" t="inlineStr">
        <is>
          <t>Source</t>
        </is>
      </c>
      <c r="B5" s="3" t="inlineStr">
        <is>
          <t>data/cache/stir_curves/panel.csv (Barchart fixed contracts)</t>
        </is>
      </c>
    </row>
    <row r="6" ht="35" customHeight="1">
      <c r="A6" s="2" t="inlineStr">
        <is>
          <t>Units</t>
        </is>
      </c>
      <c r="B6" s="3" t="inlineStr">
        <is>
          <t>Rate-space basis points unless explicitly marked as a ratio</t>
        </is>
      </c>
    </row>
    <row r="7" ht="35" customHeight="1">
      <c r="A7" s="2" t="inlineStr">
        <is>
          <t>Sign convention</t>
        </is>
      </c>
      <c r="B7" s="3" t="inlineStr">
        <is>
          <t>BUILD = U27−Z26; CUT = U27−Z28. Positive CUT means more cuts after peak.</t>
        </is>
      </c>
    </row>
    <row r="8" ht="35" customHeight="1">
      <c r="A8" s="2" t="inlineStr">
        <is>
          <t>Futures-price warning</t>
        </is>
      </c>
      <c r="B8" s="3" t="inlineStr">
        <is>
          <t>A futures-price U27−Z28 spread has the opposite sign. The workbook uses economic rate magnitudes.</t>
        </is>
      </c>
    </row>
    <row r="9" ht="35" customHeight="1">
      <c r="A9" s="2" t="inlineStr">
        <is>
          <t>Critical algebra</t>
        </is>
      </c>
      <c r="B9" s="3" t="inlineStr">
        <is>
          <t>BUILD − CUT = Z28−Z26, so the Sep-27 peak cancels. BUILD + CUT = 2×U27−Z26−Z28 and is true peak curvature.</t>
        </is>
      </c>
    </row>
    <row r="10" ht="35" customHeight="1">
      <c r="A10" s="2" t="inlineStr">
        <is>
          <t>Percentile</t>
        </is>
      </c>
      <c r="B10" s="3" t="inlineStr">
        <is>
          <t>Empirical rank within the March-to-asof sample. 100 = highest; 0 = lowest.</t>
        </is>
      </c>
    </row>
    <row r="11" ht="35" customHeight="1">
      <c r="A11" s="2" t="inlineStr">
        <is>
          <t>Exhaustiveness</t>
        </is>
      </c>
      <c r="B11" s="3" t="inlineStr">
        <is>
          <t>Ordered_Diffs has all 12 ordered pair differences. All_Combinations has all 40 {-1,0,+1} combinations unique up to overall sign.</t>
        </is>
      </c>
    </row>
    <row r="12" ht="35" customHeight="1">
      <c r="A12" s="2" t="inlineStr">
        <is>
          <t>Ratio warning</t>
        </is>
      </c>
      <c r="B12" s="3" t="inlineStr">
        <is>
          <t>All four primitives cross zero in the sample; ratio percentiles can explode and are not decision-grade.</t>
        </is>
      </c>
    </row>
    <row r="13" ht="35" customHeight="1">
      <c r="A13" s="2" t="inlineStr">
        <is>
          <t>Policy-cycle warning</t>
        </is>
      </c>
      <c r="B13" s="3" t="inlineStr">
        <is>
          <t>ECB delivered 50 bp in 2026 before the as-of date. Cross-market buildup levels compare asynchronous cycles.</t>
        </is>
      </c>
    </row>
    <row r="14" ht="35" customHeight="1">
      <c r="A14" s="2" t="inlineStr">
        <is>
          <t>Trade directions</t>
        </is>
      </c>
      <c r="B14" s="3" t="inlineStr">
        <is>
          <t>For a high rate-space structure, mean reversion is SHORT: receive positive rate weights and pay negative weights.</t>
        </is>
      </c>
    </row>
    <row r="17">
      <c r="A17" s="4" t="inlineStr">
        <is>
          <t>Workbook map</t>
        </is>
      </c>
    </row>
    <row r="18">
      <c r="A18" s="5" t="inlineStr">
        <is>
          <t>Dashboard</t>
        </is>
      </c>
      <c r="B18" t="inlineStr">
        <is>
          <t>Key marks and conclusions</t>
        </is>
      </c>
    </row>
    <row r="19">
      <c r="A19" s="5" t="inlineStr">
        <is>
          <t>Candidate_Trades</t>
        </is>
      </c>
      <c r="B19" t="inlineStr">
        <is>
          <t>Trade ideas, implementation and failure modes</t>
        </is>
      </c>
    </row>
    <row r="20">
      <c r="A20" s="5" t="inlineStr">
        <is>
          <t>Outrights</t>
        </is>
      </c>
      <c r="B20" t="inlineStr">
        <is>
          <t>Valuation screen for the four primitive strips</t>
        </is>
      </c>
    </row>
    <row r="21">
      <c r="A21" s="5" t="inlineStr">
        <is>
          <t>Difference_Matrix</t>
        </is>
      </c>
      <c r="B21" t="inlineStr">
        <is>
          <t>Current, percentile and z-score matrices for every row-minus-column permutation</t>
        </is>
      </c>
    </row>
    <row r="22">
      <c r="A22" s="5" t="inlineStr">
        <is>
          <t>Ordered_Diffs</t>
        </is>
      </c>
      <c r="B22" t="inlineStr">
        <is>
          <t>All 12 A−B permutations, including β-adjusted residuals</t>
        </is>
      </c>
    </row>
    <row r="23">
      <c r="A23" s="5" t="inlineStr">
        <is>
          <t>Unique_Pairs</t>
        </is>
      </c>
      <c r="B23" t="inlineStr">
        <is>
          <t>Six non-duplicated pair differences</t>
        </is>
      </c>
    </row>
    <row r="24">
      <c r="A24" s="5" t="inlineStr">
        <is>
          <t>Pair_Sums</t>
        </is>
      </c>
      <c r="B24" t="inlineStr">
        <is>
          <t>Six pair sums; within-market sums are peak curvatures</t>
        </is>
      </c>
    </row>
    <row r="25">
      <c r="A25" s="5" t="inlineStr">
        <is>
          <t>Ratios</t>
        </is>
      </c>
      <c r="B25" t="inlineStr">
        <is>
          <t>All 12 ordered ratios, explicitly flagged unstable</t>
        </is>
      </c>
    </row>
    <row r="26">
      <c r="A26" s="5" t="inlineStr">
        <is>
          <t>All_Combinations</t>
        </is>
      </c>
      <c r="B26" t="inlineStr">
        <is>
          <t>Full 40-combination signed linear universe</t>
        </is>
      </c>
    </row>
    <row r="27">
      <c r="A27" s="5" t="inlineStr">
        <is>
          <t>Canonical_RV</t>
        </is>
      </c>
      <c r="B27" t="inlineStr">
        <is>
          <t>Economically interpretable boxes, flies and mixed crosses</t>
        </is>
      </c>
    </row>
    <row r="28">
      <c r="A28" s="5" t="inlineStr">
        <is>
          <t>Corr_Changes / Beta_Changes</t>
        </is>
      </c>
      <c r="B28" t="inlineStr">
        <is>
          <t>Daily-change hedge diagnostics</t>
        </is>
      </c>
    </row>
    <row r="29">
      <c r="A29" s="5" t="inlineStr">
        <is>
          <t>Raw_Series</t>
        </is>
      </c>
      <c r="B29" t="inlineStr">
        <is>
          <t>Reproducible dates, contract rates and all four primitives</t>
        </is>
      </c>
    </row>
  </sheetData>
  <mergeCells count="25">
    <mergeCell ref="B4:F4"/>
    <mergeCell ref="B7:F7"/>
    <mergeCell ref="B25:F25"/>
    <mergeCell ref="B3:F3"/>
    <mergeCell ref="B22:F22"/>
    <mergeCell ref="B18:F18"/>
    <mergeCell ref="B27:F27"/>
    <mergeCell ref="B21:F21"/>
    <mergeCell ref="B12:F12"/>
    <mergeCell ref="B11:F11"/>
    <mergeCell ref="B23:F23"/>
    <mergeCell ref="B14:F14"/>
    <mergeCell ref="B8:F8"/>
    <mergeCell ref="B13:F13"/>
    <mergeCell ref="B29:F29"/>
    <mergeCell ref="B10:F10"/>
    <mergeCell ref="B28:F28"/>
    <mergeCell ref="B19:F19"/>
    <mergeCell ref="B9:F9"/>
    <mergeCell ref="B6:F6"/>
    <mergeCell ref="B24:F24"/>
    <mergeCell ref="B20:F20"/>
    <mergeCell ref="A1:F1"/>
    <mergeCell ref="B5:F5"/>
    <mergeCell ref="B26:F2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16" customWidth="1" min="3" max="3"/>
    <col width="15" customWidth="1" min="4" max="4"/>
    <col width="12" customWidth="1" min="5" max="5"/>
    <col width="13" customWidth="1" min="6" max="6"/>
    <col width="18" customWidth="1" min="7" max="7"/>
    <col width="18" customWidth="1" min="8" max="8"/>
    <col width="34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Peak RV dashboard</t>
        </is>
      </c>
    </row>
    <row r="3">
      <c r="A3" s="4" t="inlineStr">
        <is>
          <t>Four primitive strips</t>
        </is>
      </c>
    </row>
    <row r="4">
      <c r="A4" s="6" t="inlineStr">
        <is>
          <t>id</t>
        </is>
      </c>
      <c r="B4" s="6" t="inlineStr">
        <is>
          <t>label</t>
        </is>
      </c>
      <c r="C4" s="6" t="inlineStr">
        <is>
          <t>previous_bp</t>
        </is>
      </c>
      <c r="D4" s="6" t="inlineStr">
        <is>
          <t>current_bp</t>
        </is>
      </c>
      <c r="E4" s="6" t="inlineStr">
        <is>
          <t>change_1d_bp</t>
        </is>
      </c>
      <c r="F4" s="6" t="inlineStr">
        <is>
          <t>percentile</t>
        </is>
      </c>
      <c r="G4" s="6" t="inlineStr">
        <is>
          <t>zscore</t>
        </is>
      </c>
      <c r="H4" s="6" t="inlineStr">
        <is>
          <t>min_bp</t>
        </is>
      </c>
      <c r="I4" s="6" t="inlineStr">
        <is>
          <t>max_bp</t>
        </is>
      </c>
      <c r="J4" s="6" t="inlineStr">
        <is>
          <t>flag</t>
        </is>
      </c>
    </row>
    <row r="5">
      <c r="A5" s="7" t="inlineStr">
        <is>
          <t>GB_BUILD</t>
        </is>
      </c>
      <c r="B5" s="7" t="inlineStr">
        <is>
          <t>SONIA buildup: U27 − Z26</t>
        </is>
      </c>
      <c r="C5" s="7" t="n">
        <v>56.49999999999977</v>
      </c>
      <c r="D5" s="7" t="n">
        <v>56.99999999999932</v>
      </c>
      <c r="E5" s="7" t="n">
        <v>0.4999999999995453</v>
      </c>
      <c r="F5" s="7" t="n">
        <v>97.16312056737588</v>
      </c>
      <c r="G5" s="7" t="n">
        <v>2.506443005696701</v>
      </c>
      <c r="H5" s="7" t="n">
        <v>-20.49999999999983</v>
      </c>
      <c r="I5" s="7" t="n">
        <v>62.99999999999963</v>
      </c>
      <c r="J5" s="7" t="inlineStr">
        <is>
          <t>EXTREME HIGH</t>
        </is>
      </c>
    </row>
    <row r="6">
      <c r="A6" s="8" t="inlineStr">
        <is>
          <t>GB_CUT</t>
        </is>
      </c>
      <c r="B6" s="8" t="inlineStr">
        <is>
          <t>SONIA reversal: U27 − Z28</t>
        </is>
      </c>
      <c r="C6" s="8" t="n">
        <v>15.99999999999966</v>
      </c>
      <c r="D6" s="8" t="n">
        <v>15.50000000000011</v>
      </c>
      <c r="E6" s="8" t="n">
        <v>-0.4999999999995453</v>
      </c>
      <c r="F6" s="8" t="n">
        <v>90.78014184397163</v>
      </c>
      <c r="G6" s="8" t="n">
        <v>1.199435958720389</v>
      </c>
      <c r="H6" s="8" t="n">
        <v>-18.00000000000068</v>
      </c>
      <c r="I6" s="8" t="n">
        <v>23.99999999999949</v>
      </c>
      <c r="J6" s="8" t="inlineStr">
        <is>
          <t>WATCH HIGH</t>
        </is>
      </c>
    </row>
    <row r="7">
      <c r="A7" s="7" t="inlineStr">
        <is>
          <t>EU_BUILD</t>
        </is>
      </c>
      <c r="B7" s="7" t="inlineStr">
        <is>
          <t>Euribor buildup: U27 − Z26</t>
        </is>
      </c>
      <c r="C7" s="7" t="n">
        <v>46.99999999999989</v>
      </c>
      <c r="D7" s="7" t="n">
        <v>48.49999999999994</v>
      </c>
      <c r="E7" s="7" t="n">
        <v>1.500000000000057</v>
      </c>
      <c r="F7" s="7" t="n">
        <v>97.87234042553192</v>
      </c>
      <c r="G7" s="7" t="n">
        <v>2.814504564459427</v>
      </c>
      <c r="H7" s="7" t="n">
        <v>-9.000000000000341</v>
      </c>
      <c r="I7" s="7" t="n">
        <v>53.49999999999966</v>
      </c>
      <c r="J7" s="7" t="inlineStr">
        <is>
          <t>EXTREME HIGH</t>
        </is>
      </c>
    </row>
    <row r="8">
      <c r="A8" s="8" t="inlineStr">
        <is>
          <t>EU_CUT</t>
        </is>
      </c>
      <c r="B8" s="8" t="inlineStr">
        <is>
          <t>Euribor reversal: U27 − Z28</t>
        </is>
      </c>
      <c r="C8" s="8" t="n">
        <v>13.00000000000097</v>
      </c>
      <c r="D8" s="8" t="n">
        <v>13.49999999999909</v>
      </c>
      <c r="E8" s="8" t="n">
        <v>0.4999999999981242</v>
      </c>
      <c r="F8" s="8" t="n">
        <v>98.58156028368793</v>
      </c>
      <c r="G8" s="8" t="n">
        <v>1.823138499512672</v>
      </c>
      <c r="H8" s="8" t="n">
        <v>-21.0000000000008</v>
      </c>
      <c r="I8" s="8" t="n">
        <v>17.00000000000017</v>
      </c>
      <c r="J8" s="8" t="inlineStr">
        <is>
          <t>EXTREME HIGH</t>
        </is>
      </c>
    </row>
    <row r="10">
      <c r="A10" s="4" t="inlineStr">
        <is>
          <t>Canonical RV structures</t>
        </is>
      </c>
    </row>
    <row r="11">
      <c r="A11" s="6" t="inlineStr">
        <is>
          <t>id</t>
        </is>
      </c>
      <c r="B11" s="6" t="inlineStr">
        <is>
          <t>definition</t>
        </is>
      </c>
      <c r="C11" s="6" t="inlineStr">
        <is>
          <t>previous_bp</t>
        </is>
      </c>
      <c r="D11" s="6" t="inlineStr">
        <is>
          <t>current_bp</t>
        </is>
      </c>
      <c r="E11" s="6" t="inlineStr">
        <is>
          <t>change_1d_bp</t>
        </is>
      </c>
      <c r="F11" s="6" t="inlineStr">
        <is>
          <t>percentile</t>
        </is>
      </c>
      <c r="G11" s="6" t="inlineStr">
        <is>
          <t>zscore</t>
        </is>
      </c>
      <c r="H11" s="6" t="inlineStr">
        <is>
          <t>mean_bp</t>
        </is>
      </c>
      <c r="I11" s="6" t="inlineStr">
        <is>
          <t>flag</t>
        </is>
      </c>
    </row>
    <row r="12">
      <c r="A12" s="8" t="inlineStr">
        <is>
          <t>GB_PEAK_CURV</t>
        </is>
      </c>
      <c r="B12" s="8" t="inlineStr">
        <is>
          <t>2× SONIA U27 − SONIA Z26 − SONIA Z28</t>
        </is>
      </c>
      <c r="C12" s="8" t="n">
        <v>72.49999999999943</v>
      </c>
      <c r="D12" s="8" t="n">
        <v>72.49999999999943</v>
      </c>
      <c r="E12" s="8" t="n">
        <v>0</v>
      </c>
      <c r="F12" s="8" t="n">
        <v>98.58156028368793</v>
      </c>
      <c r="G12" s="8" t="n">
        <v>2.897707389212444</v>
      </c>
      <c r="H12" s="8" t="n">
        <v>15.6241134751773</v>
      </c>
      <c r="I12" s="8" t="inlineStr">
        <is>
          <t>EXTREME HIGH</t>
        </is>
      </c>
    </row>
    <row r="13">
      <c r="A13" s="7" t="inlineStr">
        <is>
          <t>EU_PEAK_CURV</t>
        </is>
      </c>
      <c r="B13" s="7" t="inlineStr">
        <is>
          <t>2× Euribor U27 − Euribor Z26 − Euribor Z28</t>
        </is>
      </c>
      <c r="C13" s="7" t="n">
        <v>60.00000000000085</v>
      </c>
      <c r="D13" s="7" t="n">
        <v>61.99999999999903</v>
      </c>
      <c r="E13" s="7" t="n">
        <v>1.999999999998181</v>
      </c>
      <c r="F13" s="7" t="n">
        <v>97.87234042553192</v>
      </c>
      <c r="G13" s="7" t="n">
        <v>2.889506817164905</v>
      </c>
      <c r="H13" s="7" t="n">
        <v>10.48936170212762</v>
      </c>
      <c r="I13" s="7" t="inlineStr">
        <is>
          <t>EXTREME HIGH</t>
        </is>
      </c>
    </row>
    <row r="14">
      <c r="A14" s="8" t="inlineStr">
        <is>
          <t>REL_BUILD</t>
        </is>
      </c>
      <c r="B14" s="8" t="inlineStr">
        <is>
          <t>GB_BUILD − EU_BUILD</t>
        </is>
      </c>
      <c r="C14" s="8" t="n">
        <v>9.499999999999886</v>
      </c>
      <c r="D14" s="8" t="n">
        <v>8.499999999999375</v>
      </c>
      <c r="E14" s="8" t="n">
        <v>-1.000000000000512</v>
      </c>
      <c r="F14" s="8" t="n">
        <v>90.78014184397163</v>
      </c>
      <c r="G14" s="8" t="n">
        <v>1.300204124627617</v>
      </c>
      <c r="H14" s="8" t="n">
        <v>0.4148936170213229</v>
      </c>
      <c r="I14" s="8" t="inlineStr">
        <is>
          <t>WATCH HIGH</t>
        </is>
      </c>
    </row>
    <row r="15">
      <c r="A15" s="7" t="inlineStr">
        <is>
          <t>REL_CUT</t>
        </is>
      </c>
      <c r="B15" s="7" t="inlineStr">
        <is>
          <t>GB_CUT − EU_CUT</t>
        </is>
      </c>
      <c r="C15" s="7" t="n">
        <v>2.999999999998693</v>
      </c>
      <c r="D15" s="7" t="n">
        <v>2.000000000001023</v>
      </c>
      <c r="E15" s="7" t="n">
        <v>-0.9999999999976694</v>
      </c>
      <c r="F15" s="7" t="n">
        <v>45.39007092198582</v>
      </c>
      <c r="G15" s="7" t="n">
        <v>-0.5116488597089864</v>
      </c>
      <c r="H15" s="7" t="n">
        <v>4.719858156028359</v>
      </c>
      <c r="I15" s="7" t="inlineStr">
        <is>
          <t>NEUTRAL</t>
        </is>
      </c>
    </row>
    <row r="16">
      <c r="A16" s="8" t="inlineStr">
        <is>
          <t>REL_PEAK_CURV</t>
        </is>
      </c>
      <c r="B16" s="8" t="inlineStr">
        <is>
          <t>GB_PEAK_CURV − EU_PEAK_CURV</t>
        </is>
      </c>
      <c r="C16" s="8" t="n">
        <v>12.49999999999858</v>
      </c>
      <c r="D16" s="8" t="n">
        <v>10.5000000000004</v>
      </c>
      <c r="E16" s="8" t="n">
        <v>-1.999999999998181</v>
      </c>
      <c r="F16" s="8" t="n">
        <v>94.32624113475178</v>
      </c>
      <c r="G16" s="8" t="n">
        <v>1.489099885853605</v>
      </c>
      <c r="H16" s="8" t="n">
        <v>5.134751773049683</v>
      </c>
      <c r="I16" s="8" t="inlineStr">
        <is>
          <t>WATCH HIGH</t>
        </is>
      </c>
    </row>
    <row r="17">
      <c r="A17" s="7" t="inlineStr">
        <is>
          <t>GB_BUILD_MINUS_EU_CUT</t>
        </is>
      </c>
      <c r="B17" s="7" t="inlineStr">
        <is>
          <t>GB_BUILD − EU_CUT</t>
        </is>
      </c>
      <c r="C17" s="7" t="n">
        <v>43.49999999999881</v>
      </c>
      <c r="D17" s="7" t="n">
        <v>43.50000000000023</v>
      </c>
      <c r="E17" s="7" t="n">
        <v>1.4210854715202e-12</v>
      </c>
      <c r="F17" s="7" t="n">
        <v>97.87234042553192</v>
      </c>
      <c r="G17" s="7" t="n">
        <v>2.069273205882153</v>
      </c>
      <c r="H17" s="7" t="n">
        <v>8.095744680851038</v>
      </c>
      <c r="I17" s="7" t="inlineStr">
        <is>
          <t>EXTREME HIGH</t>
        </is>
      </c>
    </row>
    <row r="19">
      <c r="A19" s="4" t="inlineStr">
        <is>
          <t>Bottom line</t>
        </is>
      </c>
    </row>
    <row r="20">
      <c r="A20" t="inlineStr">
        <is>
          <t>•</t>
        </is>
      </c>
      <c r="B20" s="9" t="inlineStr">
        <is>
          <t>True peak curvature: GBP +72.5 bp (98.6th); EUR +62.0 bp (97.9th).</t>
        </is>
      </c>
      <c r="J20" s="4" t="inlineStr">
        <is>
          <t>Top candidate</t>
        </is>
      </c>
    </row>
    <row r="21">
      <c r="A21" t="inlineStr">
        <is>
          <t>•</t>
        </is>
      </c>
      <c r="B21" s="9" t="inlineStr">
        <is>
          <t>Corresponding post-peak cut differential: +2.0 bp at the 45.4th percentile.</t>
        </is>
      </c>
      <c r="J21" s="5" t="inlineStr">
        <is>
          <t>Short GBP peak curvature</t>
        </is>
      </c>
    </row>
    <row r="22">
      <c r="A22" t="inlineStr">
        <is>
          <t>•</t>
        </is>
      </c>
      <c r="B22" s="9" t="inlineStr">
        <is>
          <t>Relative GBP−EUR peak curvature: +10.5 bp at the 94.3th percentile.</t>
        </is>
      </c>
      <c r="J22" s="9" t="inlineStr">
        <is>
          <t>RECEIVE 2× J8U27; PAY J8Z26; PAY J8Z28</t>
        </is>
      </c>
    </row>
    <row r="23">
      <c r="A23" t="inlineStr">
        <is>
          <t>•</t>
        </is>
      </c>
      <c r="B23" s="9" t="inlineStr">
        <is>
          <t>GBP−EUR buildup box: +8.5 bp at the 90.8th percentile; interpret with the delivered-ECB-hikes caveat.</t>
        </is>
      </c>
      <c r="J23" s="9" t="inlineStr">
        <is>
          <t>Not a selloff hedge: another BoE path-extension shock sharpens the peak further</t>
        </is>
      </c>
    </row>
    <row r="24">
      <c r="A24" t="inlineStr">
        <is>
          <t>•</t>
        </is>
      </c>
      <c r="B24" s="9" t="inlineStr">
        <is>
          <t>UK buildup minus EUR cuts: +43.5 bp, but daily changes are nearly uncorrelated: not a primary hedge.</t>
        </is>
      </c>
    </row>
    <row r="25">
      <c r="A25" t="inlineStr">
        <is>
          <t>•</t>
        </is>
      </c>
      <c r="B25" s="9" t="inlineStr">
        <is>
          <t>Within-market buildup minus cuts cancels U27. Use buildup plus cuts to fade the peak.</t>
        </is>
      </c>
    </row>
  </sheetData>
  <mergeCells count="7">
    <mergeCell ref="B22:H22"/>
    <mergeCell ref="B21:H21"/>
    <mergeCell ref="B24:H24"/>
    <mergeCell ref="B25:H25"/>
    <mergeCell ref="A1:H1"/>
    <mergeCell ref="B20:H20"/>
    <mergeCell ref="B23:H23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3" customWidth="1" min="3" max="3"/>
    <col width="20" customWidth="1" min="4" max="4"/>
    <col width="24" customWidth="1" min="5" max="5"/>
    <col width="19" customWidth="1" min="6" max="6"/>
    <col width="21" customWidth="1" min="7" max="7"/>
    <col width="42" customWidth="1" min="8" max="8"/>
    <col width="42" customWidth="1" min="9" max="9"/>
    <col width="42" customWidth="1" min="10" max="10"/>
    <col width="42" customWidth="1" min="11" max="11"/>
    <col width="48" customWidth="1" min="12" max="12"/>
    <col width="37" customWidth="1" min="13" max="13"/>
  </cols>
  <sheetData>
    <row r="1" ht="34" customHeight="1">
      <c r="A1" s="6" t="inlineStr">
        <is>
          <t>rank</t>
        </is>
      </c>
      <c r="B1" s="6" t="inlineStr">
        <is>
          <t>candidate</t>
        </is>
      </c>
      <c r="C1" s="6" t="inlineStr">
        <is>
          <t>structure_id</t>
        </is>
      </c>
      <c r="D1" s="6" t="inlineStr">
        <is>
          <t>current_bp</t>
        </is>
      </c>
      <c r="E1" s="6" t="inlineStr">
        <is>
          <t>change_1d_bp</t>
        </is>
      </c>
      <c r="F1" s="6" t="inlineStr">
        <is>
          <t>percentile</t>
        </is>
      </c>
      <c r="G1" s="6" t="inlineStr">
        <is>
          <t>zscore</t>
        </is>
      </c>
      <c r="H1" s="6" t="inlineStr">
        <is>
          <t>trade_legs</t>
        </is>
      </c>
      <c r="I1" s="6" t="inlineStr">
        <is>
          <t>what_it_is</t>
        </is>
      </c>
      <c r="J1" s="6" t="inlineStr">
        <is>
          <t>why_now</t>
        </is>
      </c>
      <c r="K1" s="6" t="inlineStr">
        <is>
          <t>main_risk</t>
        </is>
      </c>
      <c r="L1" s="6" t="inlineStr">
        <is>
          <t>hedge_diagnostic</t>
        </is>
      </c>
      <c r="M1" s="6" t="inlineStr">
        <is>
          <t>assessment</t>
        </is>
      </c>
    </row>
    <row r="2">
      <c r="A2" s="8" t="n">
        <v>1</v>
      </c>
      <c r="B2" s="8" t="inlineStr">
        <is>
          <t>Short GBP peak curvature</t>
        </is>
      </c>
      <c r="C2" s="8" t="inlineStr">
        <is>
          <t>GB_PEAK_CURV</t>
        </is>
      </c>
      <c r="D2" s="10" t="n">
        <v>72.49999999999943</v>
      </c>
      <c r="E2" s="10" t="n">
        <v>0</v>
      </c>
      <c r="F2" s="10" t="n">
        <v>98.58156028368793</v>
      </c>
      <c r="G2" s="10" t="n">
        <v>2.897707389212444</v>
      </c>
      <c r="H2" s="8" t="inlineStr">
        <is>
          <t>RECEIVE 2× J8U27; PAY J8Z26; PAY J8Z28</t>
        </is>
      </c>
      <c r="I2" s="8" t="inlineStr">
        <is>
          <t>Direct fade of SONIA Sep-27 richness to both front and belly wings</t>
        </is>
      </c>
      <c r="J2" s="8" t="inlineStr">
        <is>
          <t>+72.5 bp at the 98.6th percentile versus +15.6 mean</t>
        </is>
      </c>
      <c r="K2" s="8" t="inlineStr">
        <is>
          <t>Not a selloff hedge: another BoE path-extension shock sharpens the peak further</t>
        </is>
      </c>
      <c r="L2" s="8" t="inlineStr">
        <is>
          <t>Absolute curvature fade; no cross-market hedge</t>
        </is>
      </c>
      <c r="M2" s="8" t="inlineStr">
        <is>
          <t>BEST DIRECT BOE PEAK FADE</t>
        </is>
      </c>
    </row>
    <row r="3">
      <c r="A3" s="7" t="n">
        <v>2</v>
      </c>
      <c r="B3" s="7" t="inlineStr">
        <is>
          <t>Short GBP peak curvature vs EUR peak curvature</t>
        </is>
      </c>
      <c r="C3" s="7" t="inlineStr">
        <is>
          <t>REL_PEAK_CURV</t>
        </is>
      </c>
      <c r="D3" s="11" t="n">
        <v>10.5000000000004</v>
      </c>
      <c r="E3" s="11" t="n">
        <v>-1.999999999998181</v>
      </c>
      <c r="F3" s="11" t="n">
        <v>94.32624113475178</v>
      </c>
      <c r="G3" s="11" t="n">
        <v>1.489099885853605</v>
      </c>
      <c r="H3" s="7" t="inlineStr">
        <is>
          <t>RECEIVE 2× J8U27; PAY J8Z26/J8Z28; PAY 2× IMU27; RECEIVE IMZ26/IMZ28</t>
        </is>
      </c>
      <c r="I3" s="7" t="inlineStr">
        <is>
          <t>Fade BoE peak curvature relative to the same ECB curvature</t>
        </is>
      </c>
      <c r="J3" s="7" t="inlineStr">
        <is>
          <t>Relative curvature +10.5 bp, 94.3th percentile; corresponding cut differential is not extreme</t>
        </is>
      </c>
      <c r="K3" s="7" t="inlineStr">
        <is>
          <t>Different policy-cycle timing can sustain positive GBP curvature</t>
        </is>
      </c>
      <c r="L3" s="7" t="inlineStr">
        <is>
          <t>GBP/EUR curvature daily-change correlation since Aug: 0.90</t>
        </is>
      </c>
      <c r="M3" s="7" t="inlineStr">
        <is>
          <t>BEST CROSS-MARKET RV</t>
        </is>
      </c>
    </row>
    <row r="4">
      <c r="A4" s="8" t="n">
        <v>3</v>
      </c>
      <c r="B4" s="8" t="inlineStr">
        <is>
          <t>Short GBP buildup vs long EUR buildup</t>
        </is>
      </c>
      <c r="C4" s="8" t="inlineStr">
        <is>
          <t>REL_BUILD</t>
        </is>
      </c>
      <c r="D4" s="10" t="n">
        <v>8.499999999999375</v>
      </c>
      <c r="E4" s="10" t="n">
        <v>-1.000000000000512</v>
      </c>
      <c r="F4" s="10" t="n">
        <v>90.78014184397163</v>
      </c>
      <c r="G4" s="10" t="n">
        <v>1.300204124627617</v>
      </c>
      <c r="H4" s="8" t="inlineStr">
        <is>
          <t>RECEIVE J8U27; PAY J8Z26; PAY IMU27; RECEIVE IMZ26</t>
        </is>
      </c>
      <c r="I4" s="8" t="inlineStr">
        <is>
          <t>The Dec-26→Sep-27 curve box discussed with the user</t>
        </is>
      </c>
      <c r="J4" s="8" t="inlineStr">
        <is>
          <t>+8.5 bp, 90.8th percentile; buildup daily changes correlate strongly across markets</t>
        </is>
      </c>
      <c r="K4" s="8" t="inlineStr">
        <is>
          <t>ECB already delivered 50 bp in 2026; positive box partly reflects asynchronous cycles</t>
        </is>
      </c>
      <c r="L4" s="8" t="inlineStr">
        <is>
          <t>GBP/EUR buildup daily-change correlation since Aug: 0.93</t>
        </is>
      </c>
      <c r="M4" s="8" t="inlineStr">
        <is>
          <t>GOOD HEDGE, USE CONSERVATIVE TARGET</t>
        </is>
      </c>
    </row>
    <row r="5">
      <c r="A5" s="7" t="n">
        <v>4</v>
      </c>
      <c r="B5" s="7" t="inlineStr">
        <is>
          <t>Short both GBP and EUR peak curvatures</t>
        </is>
      </c>
      <c r="C5" s="7" t="inlineStr">
        <is>
          <t>GB_AND_EU_PEAK_CURV</t>
        </is>
      </c>
      <c r="D5" s="11" t="n">
        <v>134.4999999999985</v>
      </c>
      <c r="E5" s="11" t="n">
        <v>1.999999999998181</v>
      </c>
      <c r="F5" s="11" t="n">
        <v>98.58156028368793</v>
      </c>
      <c r="G5" s="11" t="n">
        <v>2.903900380556359</v>
      </c>
      <c r="H5" s="7" t="inlineStr">
        <is>
          <t>RECEIVE 2× J8U27 and 2× IMU27; PAY each market's Z26 and Z28 wings</t>
        </is>
      </c>
      <c r="I5" s="7" t="inlineStr">
        <is>
          <t>Country-neutral fade of the common war/hawkish peak-curvature factor</t>
        </is>
      </c>
      <c r="J5" s="7" t="inlineStr">
        <is>
          <t>Both absolute peak curvatures are ~3.4 standard deviations above March means</t>
        </is>
      </c>
      <c r="K5" s="7" t="inlineStr">
        <is>
          <t>Concentrated short-hawkish-curvature exposure in both markets; no country diversification</t>
        </is>
      </c>
      <c r="L5" s="7" t="inlineStr">
        <is>
          <t>Adds common curvature exposure rather than hedging it</t>
        </is>
      </c>
      <c r="M5" s="7" t="inlineStr">
        <is>
          <t>COMMON-FACTOR FADE</t>
        </is>
      </c>
    </row>
    <row r="6">
      <c r="A6" s="8" t="n">
        <v>5</v>
      </c>
      <c r="B6" s="8" t="inlineStr">
        <is>
          <t>GBP buildup minus EUR reversal</t>
        </is>
      </c>
      <c r="C6" s="8" t="inlineStr">
        <is>
          <t>GB_BUILD_MINUS_EU_CUT</t>
        </is>
      </c>
      <c r="D6" s="10" t="n">
        <v>43.50000000000023</v>
      </c>
      <c r="E6" s="10" t="n">
        <v>1.4210854715202e-12</v>
      </c>
      <c r="F6" s="10" t="n">
        <v>97.87234042553192</v>
      </c>
      <c r="G6" s="10" t="n">
        <v>2.069273205882153</v>
      </c>
      <c r="H6" s="8" t="inlineStr">
        <is>
          <t>Statistically short the mixed-horizon difference</t>
        </is>
      </c>
      <c r="I6" s="8" t="inlineStr">
        <is>
          <t>User's mixed example: UK buildup compared with EUR cuts</t>
        </is>
      </c>
      <c r="J6" s="8" t="inlineStr">
        <is>
          <t>+43.5 bp, 97.9th percentile</t>
        </is>
      </c>
      <c r="K6" s="8" t="inlineStr">
        <is>
          <t>Daily-change correlation is near zero; subtraction does not create a hedge</t>
        </is>
      </c>
      <c r="L6" s="8" t="inlineStr">
        <is>
          <t>GBP buildup / EUR cut daily-change correlation: -0.01</t>
        </is>
      </c>
      <c r="M6" s="8" t="inlineStr">
        <is>
          <t>EXTREME BUT REJECT AS PRIMARY RV</t>
        </is>
      </c>
    </row>
    <row r="7">
      <c r="A7" s="7" t="n">
        <v>6</v>
      </c>
      <c r="B7" s="7" t="inlineStr">
        <is>
          <t>Relative post-peak reversal</t>
        </is>
      </c>
      <c r="C7" s="7" t="inlineStr">
        <is>
          <t>REL_CUT</t>
        </is>
      </c>
      <c r="D7" s="11" t="n">
        <v>2.000000000001023</v>
      </c>
      <c r="E7" s="11" t="n">
        <v>-0.9999999999976694</v>
      </c>
      <c r="F7" s="11" t="n">
        <v>45.39007092198582</v>
      </c>
      <c r="G7" s="11" t="n">
        <v>-0.5116488597089864</v>
      </c>
      <c r="H7" s="7" t="inlineStr">
        <is>
          <t>No trade at current valuation</t>
        </is>
      </c>
      <c r="I7" s="7" t="inlineStr">
        <is>
          <t>SONIA cut magnitude minus Euribor cut magnitude</t>
        </is>
      </c>
      <c r="J7" s="7" t="inlineStr">
        <is>
          <t>It is not extreme: +2.0 bp at the 45.4th percentile</t>
        </is>
      </c>
      <c r="K7" s="7" t="inlineStr">
        <is>
          <t>Forcing a trade where corresponding strips are already aligned</t>
        </is>
      </c>
      <c r="L7" s="7" t="inlineStr">
        <is>
          <t>GBP/EUR cut daily-change correlation: 0.79</t>
        </is>
      </c>
      <c r="M7" s="7" t="inlineStr">
        <is>
          <t>NO RELATIVE DISLOCATION</t>
        </is>
      </c>
    </row>
  </sheetData>
  <autoFilter ref="A1:M7"/>
  <conditionalFormatting sqref="F2:F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G2:G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4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2" customWidth="1" min="10" max="10"/>
    <col width="22" customWidth="1" min="11" max="11"/>
    <col width="21" customWidth="1" min="12" max="12"/>
  </cols>
  <sheetData>
    <row r="1" ht="34" customHeight="1">
      <c r="A1" s="6" t="inlineStr">
        <is>
          <t>date</t>
        </is>
      </c>
      <c r="B1" s="6" t="inlineStr">
        <is>
          <t>session</t>
        </is>
      </c>
      <c r="C1" s="6" t="inlineStr">
        <is>
          <t>GB_Z26_rate_pct</t>
        </is>
      </c>
      <c r="D1" s="6" t="inlineStr">
        <is>
          <t>GB_U27_rate_pct</t>
        </is>
      </c>
      <c r="E1" s="6" t="inlineStr">
        <is>
          <t>GB_Z28_rate_pct</t>
        </is>
      </c>
      <c r="F1" s="6" t="inlineStr">
        <is>
          <t>EU_Z26_rate_pct</t>
        </is>
      </c>
      <c r="G1" s="6" t="inlineStr">
        <is>
          <t>EU_U27_rate_pct</t>
        </is>
      </c>
      <c r="H1" s="6" t="inlineStr">
        <is>
          <t>EU_Z28_rate_pct</t>
        </is>
      </c>
      <c r="I1" s="6" t="inlineStr">
        <is>
          <t>GB_BUILD</t>
        </is>
      </c>
      <c r="J1" s="6" t="inlineStr">
        <is>
          <t>GB_CUT</t>
        </is>
      </c>
      <c r="K1" s="6" t="inlineStr">
        <is>
          <t>EU_BUILD</t>
        </is>
      </c>
      <c r="L1" s="6" t="inlineStr">
        <is>
          <t>EU_CUT</t>
        </is>
      </c>
    </row>
    <row r="2">
      <c r="A2" s="12" t="n">
        <v>46083</v>
      </c>
      <c r="B2" s="8" t="n">
        <v>1</v>
      </c>
      <c r="C2" s="8" t="n">
        <v>3.344999999999999</v>
      </c>
      <c r="D2" s="8" t="n">
        <v>3.409999999999997</v>
      </c>
      <c r="E2" s="8" t="n">
        <v>3.590000000000003</v>
      </c>
      <c r="F2" s="8" t="n">
        <v>2.064999999999998</v>
      </c>
      <c r="G2" s="8" t="n">
        <v>2.155000000000001</v>
      </c>
      <c r="H2" s="8" t="n">
        <v>2.359999999999999</v>
      </c>
      <c r="I2" s="8" t="n">
        <v>6.499999999999773</v>
      </c>
      <c r="J2" s="8" t="n">
        <v>-18.00000000000068</v>
      </c>
      <c r="K2" s="8" t="n">
        <v>9.000000000000341</v>
      </c>
      <c r="L2" s="8" t="n">
        <v>-20.49999999999983</v>
      </c>
    </row>
    <row r="3">
      <c r="A3" s="13" t="n">
        <v>46084</v>
      </c>
      <c r="B3" s="7" t="n">
        <v>2</v>
      </c>
      <c r="C3" s="7" t="n">
        <v>3.5</v>
      </c>
      <c r="D3" s="7" t="n">
        <v>3.569999999999993</v>
      </c>
      <c r="E3" s="7" t="n">
        <v>3.709999999999994</v>
      </c>
      <c r="F3" s="7" t="n">
        <v>2.185000000000002</v>
      </c>
      <c r="G3" s="7" t="n">
        <v>2.280000000000001</v>
      </c>
      <c r="H3" s="7" t="n">
        <v>2.465000000000003</v>
      </c>
      <c r="I3" s="7" t="n">
        <v>6.999999999999318</v>
      </c>
      <c r="J3" s="7" t="n">
        <v>-14.00000000000006</v>
      </c>
      <c r="K3" s="7" t="n">
        <v>9.499999999999886</v>
      </c>
      <c r="L3" s="7" t="n">
        <v>-18.50000000000023</v>
      </c>
    </row>
    <row r="4">
      <c r="A4" s="12" t="n">
        <v>46085</v>
      </c>
      <c r="B4" s="8" t="n">
        <v>3</v>
      </c>
      <c r="C4" s="8" t="n">
        <v>3.405000000000001</v>
      </c>
      <c r="D4" s="8" t="n">
        <v>3.484999999999999</v>
      </c>
      <c r="E4" s="8" t="n">
        <v>3.655000000000001</v>
      </c>
      <c r="F4" s="8" t="n">
        <v>2.114999999999995</v>
      </c>
      <c r="G4" s="8" t="n">
        <v>2.204999999999998</v>
      </c>
      <c r="H4" s="8" t="n">
        <v>2.415000000000006</v>
      </c>
      <c r="I4" s="8" t="n">
        <v>7.999999999999829</v>
      </c>
      <c r="J4" s="8" t="n">
        <v>-17.00000000000017</v>
      </c>
      <c r="K4" s="8" t="n">
        <v>9.000000000000341</v>
      </c>
      <c r="L4" s="8" t="n">
        <v>-21.0000000000008</v>
      </c>
    </row>
    <row r="5">
      <c r="A5" s="13" t="n">
        <v>46086</v>
      </c>
      <c r="B5" s="7" t="n">
        <v>4</v>
      </c>
      <c r="C5" s="7" t="n">
        <v>3.5</v>
      </c>
      <c r="D5" s="7" t="n">
        <v>3.594999999999999</v>
      </c>
      <c r="E5" s="7" t="n">
        <v>3.769999999999996</v>
      </c>
      <c r="F5" s="7" t="n">
        <v>2.25</v>
      </c>
      <c r="G5" s="7" t="n">
        <v>2.349999999999994</v>
      </c>
      <c r="H5" s="7" t="n">
        <v>2.545000000000002</v>
      </c>
      <c r="I5" s="7" t="n">
        <v>9.499999999999886</v>
      </c>
      <c r="J5" s="7" t="n">
        <v>-17.49999999999972</v>
      </c>
      <c r="K5" s="7" t="n">
        <v>9.999999999999432</v>
      </c>
      <c r="L5" s="7" t="n">
        <v>-19.50000000000074</v>
      </c>
    </row>
    <row r="6">
      <c r="A6" s="12" t="n">
        <v>46087</v>
      </c>
      <c r="B6" s="8" t="n">
        <v>5</v>
      </c>
      <c r="C6" s="8" t="n">
        <v>3.614999999999995</v>
      </c>
      <c r="D6" s="8" t="n">
        <v>3.739999999999995</v>
      </c>
      <c r="E6" s="8" t="n">
        <v>3.905000000000001</v>
      </c>
      <c r="F6" s="8" t="n">
        <v>2.355000000000004</v>
      </c>
      <c r="G6" s="8" t="n">
        <v>2.454999999999998</v>
      </c>
      <c r="H6" s="8" t="n">
        <v>2.609999999999999</v>
      </c>
      <c r="I6" s="8" t="n">
        <v>12.5</v>
      </c>
      <c r="J6" s="8" t="n">
        <v>-16.50000000000063</v>
      </c>
      <c r="K6" s="8" t="n">
        <v>9.999999999999432</v>
      </c>
      <c r="L6" s="8" t="n">
        <v>-15.50000000000011</v>
      </c>
    </row>
    <row r="7">
      <c r="A7" s="13" t="n">
        <v>46090</v>
      </c>
      <c r="B7" s="7" t="n">
        <v>6</v>
      </c>
      <c r="C7" s="7" t="n">
        <v>3.769999999999996</v>
      </c>
      <c r="D7" s="7" t="n">
        <v>3.840000000000003</v>
      </c>
      <c r="E7" s="7" t="n">
        <v>3.909999999999997</v>
      </c>
      <c r="F7" s="7" t="n">
        <v>2.430000000000007</v>
      </c>
      <c r="G7" s="7" t="n">
        <v>2.489999999999995</v>
      </c>
      <c r="H7" s="7" t="n">
        <v>2.605000000000004</v>
      </c>
      <c r="I7" s="7" t="n">
        <v>7.000000000000739</v>
      </c>
      <c r="J7" s="7" t="n">
        <v>-6.999999999999318</v>
      </c>
      <c r="K7" s="7" t="n">
        <v>5.999999999998806</v>
      </c>
      <c r="L7" s="7" t="n">
        <v>-11.50000000000091</v>
      </c>
    </row>
    <row r="8">
      <c r="A8" s="12" t="n">
        <v>46091</v>
      </c>
      <c r="B8" s="8" t="n">
        <v>7</v>
      </c>
      <c r="C8" s="8" t="n">
        <v>3.614999999999995</v>
      </c>
      <c r="D8" s="8" t="n">
        <v>3.700000000000003</v>
      </c>
      <c r="E8" s="8" t="n">
        <v>3.834999999999994</v>
      </c>
      <c r="F8" s="8" t="n">
        <v>2.290000000000006</v>
      </c>
      <c r="G8" s="8" t="n">
        <v>2.359999999999999</v>
      </c>
      <c r="H8" s="8" t="n">
        <v>2.525000000000006</v>
      </c>
      <c r="I8" s="8" t="n">
        <v>8.500000000000796</v>
      </c>
      <c r="J8" s="8" t="n">
        <v>-13.49999999999909</v>
      </c>
      <c r="K8" s="8" t="n">
        <v>6.999999999999318</v>
      </c>
      <c r="L8" s="8" t="n">
        <v>-16.50000000000063</v>
      </c>
    </row>
    <row r="9">
      <c r="A9" s="13" t="n">
        <v>46092</v>
      </c>
      <c r="B9" s="7" t="n">
        <v>8</v>
      </c>
      <c r="C9" s="7" t="n">
        <v>3.829999999999998</v>
      </c>
      <c r="D9" s="7" t="n">
        <v>3.890000000000001</v>
      </c>
      <c r="E9" s="7" t="n">
        <v>3.974999999999993</v>
      </c>
      <c r="F9" s="7" t="n">
        <v>2.495000000000005</v>
      </c>
      <c r="G9" s="7" t="n">
        <v>2.540000000000006</v>
      </c>
      <c r="H9" s="7" t="n">
        <v>2.644999999999996</v>
      </c>
      <c r="I9" s="7" t="n">
        <v>6.000000000000272</v>
      </c>
      <c r="J9" s="7" t="n">
        <v>-8.499999999999241</v>
      </c>
      <c r="K9" s="7" t="n">
        <v>4.500000000000171</v>
      </c>
      <c r="L9" s="7" t="n">
        <v>-10.49999999999898</v>
      </c>
    </row>
    <row r="10">
      <c r="A10" s="12" t="n">
        <v>46093</v>
      </c>
      <c r="B10" s="8" t="n">
        <v>9</v>
      </c>
      <c r="C10" s="8" t="n">
        <v>3.935000000000001</v>
      </c>
      <c r="D10" s="8" t="n">
        <v>4</v>
      </c>
      <c r="E10" s="8" t="n">
        <v>4.064999999999998</v>
      </c>
      <c r="F10" s="8" t="n">
        <v>2.530000000000001</v>
      </c>
      <c r="G10" s="8" t="n">
        <v>2.579999999999998</v>
      </c>
      <c r="H10" s="8" t="n">
        <v>2.650000000000006</v>
      </c>
      <c r="I10" s="8" t="n">
        <v>6.499999999999861</v>
      </c>
      <c r="J10" s="8" t="n">
        <v>-6.499999999999773</v>
      </c>
      <c r="K10" s="8" t="n">
        <v>4.999999999999716</v>
      </c>
      <c r="L10" s="8" t="n">
        <v>-7.000000000000739</v>
      </c>
    </row>
    <row r="11">
      <c r="A11" s="13" t="n">
        <v>46094</v>
      </c>
      <c r="B11" s="7" t="n">
        <v>10</v>
      </c>
      <c r="C11" s="7" t="n">
        <v>3.959999999999994</v>
      </c>
      <c r="D11" s="7" t="n">
        <v>4.025000000000006</v>
      </c>
      <c r="E11" s="7" t="n">
        <v>4.084999999999994</v>
      </c>
      <c r="F11" s="7" t="n">
        <v>2.545000000000002</v>
      </c>
      <c r="G11" s="7" t="n">
        <v>2.594999999999999</v>
      </c>
      <c r="H11" s="7" t="n">
        <v>2.665000000000006</v>
      </c>
      <c r="I11" s="7" t="n">
        <v>6.500000000001194</v>
      </c>
      <c r="J11" s="7" t="n">
        <v>-5.999999999998806</v>
      </c>
      <c r="K11" s="7" t="n">
        <v>4.999999999999716</v>
      </c>
      <c r="L11" s="7" t="n">
        <v>-7.000000000000739</v>
      </c>
    </row>
    <row r="12">
      <c r="A12" s="12" t="n">
        <v>46097</v>
      </c>
      <c r="B12" s="8" t="n">
        <v>11</v>
      </c>
      <c r="C12" s="8" t="n">
        <v>3.920000000000002</v>
      </c>
      <c r="D12" s="8" t="n">
        <v>3.959999999999994</v>
      </c>
      <c r="E12" s="8" t="n">
        <v>4</v>
      </c>
      <c r="F12" s="8" t="n">
        <v>2.515000000000001</v>
      </c>
      <c r="G12" s="8" t="n">
        <v>2.549999999999997</v>
      </c>
      <c r="H12" s="8" t="n">
        <v>2.640000000000001</v>
      </c>
      <c r="I12" s="8" t="n">
        <v>3.999999999999204</v>
      </c>
      <c r="J12" s="8" t="n">
        <v>-4.000000000000625</v>
      </c>
      <c r="K12" s="8" t="n">
        <v>3.499999999999615</v>
      </c>
      <c r="L12" s="8" t="n">
        <v>-9.000000000000385</v>
      </c>
    </row>
    <row r="13">
      <c r="A13" s="13" t="n">
        <v>46098</v>
      </c>
      <c r="B13" s="7" t="n">
        <v>12</v>
      </c>
      <c r="C13" s="7" t="n">
        <v>3.885000000000005</v>
      </c>
      <c r="D13" s="7" t="n">
        <v>3.905000000000001</v>
      </c>
      <c r="E13" s="7" t="n">
        <v>3.935000000000001</v>
      </c>
      <c r="F13" s="7" t="n">
        <v>2.474999999999994</v>
      </c>
      <c r="G13" s="7" t="n">
        <v>2.525000000000006</v>
      </c>
      <c r="H13" s="7" t="n">
        <v>2.614999999999995</v>
      </c>
      <c r="I13" s="7" t="n">
        <v>1.999999999999602</v>
      </c>
      <c r="J13" s="7" t="n">
        <v>-3.000000000000025</v>
      </c>
      <c r="K13" s="7" t="n">
        <v>5.000000000001137</v>
      </c>
      <c r="L13" s="7" t="n">
        <v>-8.99999999999892</v>
      </c>
    </row>
    <row r="14">
      <c r="A14" s="12" t="n">
        <v>46099</v>
      </c>
      <c r="B14" s="8" t="n">
        <v>13</v>
      </c>
      <c r="C14" s="8" t="n">
        <v>3.965000000000003</v>
      </c>
      <c r="D14" s="8" t="n">
        <v>3.950000000000003</v>
      </c>
      <c r="E14" s="8" t="n">
        <v>3.959999999999994</v>
      </c>
      <c r="F14" s="8" t="n">
        <v>2.575000000000003</v>
      </c>
      <c r="G14" s="8" t="n">
        <v>2.605000000000004</v>
      </c>
      <c r="H14" s="8" t="n">
        <v>2.659999999999997</v>
      </c>
      <c r="I14" s="8" t="n">
        <v>-1.500000000000057</v>
      </c>
      <c r="J14" s="8" t="n">
        <v>-0.9999999999990905</v>
      </c>
      <c r="K14" s="8" t="n">
        <v>3.000000000000114</v>
      </c>
      <c r="L14" s="8" t="n">
        <v>-5.499999999999261</v>
      </c>
    </row>
    <row r="15">
      <c r="A15" s="13" t="n">
        <v>46100</v>
      </c>
      <c r="B15" s="7" t="n">
        <v>14</v>
      </c>
      <c r="C15" s="7" t="n">
        <v>4.420000000000002</v>
      </c>
      <c r="D15" s="7" t="n">
        <v>4.224999999999994</v>
      </c>
      <c r="E15" s="7" t="n">
        <v>4.060000000000002</v>
      </c>
      <c r="F15" s="7" t="n">
        <v>2.754999999999995</v>
      </c>
      <c r="G15" s="7" t="n">
        <v>2.700000000000003</v>
      </c>
      <c r="H15" s="7" t="n">
        <v>2.665000000000006</v>
      </c>
      <c r="I15" s="7" t="n">
        <v>-19.50000000000074</v>
      </c>
      <c r="J15" s="7" t="n">
        <v>16.4999999999992</v>
      </c>
      <c r="K15" s="7" t="n">
        <v>-5.499999999999261</v>
      </c>
      <c r="L15" s="7" t="n">
        <v>3.499999999999659</v>
      </c>
    </row>
    <row r="16">
      <c r="A16" s="12" t="n">
        <v>46101</v>
      </c>
      <c r="B16" s="8" t="n">
        <v>15</v>
      </c>
      <c r="C16" s="8" t="n">
        <v>4.625</v>
      </c>
      <c r="D16" s="8" t="n">
        <v>4.420000000000002</v>
      </c>
      <c r="E16" s="8" t="n">
        <v>4.180000000000007</v>
      </c>
      <c r="F16" s="8" t="n">
        <v>2.875</v>
      </c>
      <c r="G16" s="8" t="n">
        <v>2.784999999999997</v>
      </c>
      <c r="H16" s="8" t="n">
        <v>2.765000000000001</v>
      </c>
      <c r="I16" s="8" t="n">
        <v>-20.49999999999983</v>
      </c>
      <c r="J16" s="8" t="n">
        <v>23.99999999999949</v>
      </c>
      <c r="K16" s="8" t="n">
        <v>-9.000000000000341</v>
      </c>
      <c r="L16" s="8" t="n">
        <v>1.999999999999558</v>
      </c>
    </row>
    <row r="17">
      <c r="A17" s="13" t="n">
        <v>46104</v>
      </c>
      <c r="B17" s="7" t="n">
        <v>16</v>
      </c>
      <c r="C17" s="7" t="n">
        <v>4.439999999999998</v>
      </c>
      <c r="D17" s="7" t="n">
        <v>4.280000000000001</v>
      </c>
      <c r="E17" s="7" t="n">
        <v>4.109999999999999</v>
      </c>
      <c r="F17" s="7" t="n">
        <v>2.775000000000006</v>
      </c>
      <c r="G17" s="7" t="n">
        <v>2.719999999999999</v>
      </c>
      <c r="H17" s="7" t="n">
        <v>2.754999999999995</v>
      </c>
      <c r="I17" s="7" t="n">
        <v>-15.99999999999966</v>
      </c>
      <c r="J17" s="7" t="n">
        <v>17.00000000000017</v>
      </c>
      <c r="K17" s="7" t="n">
        <v>-5.500000000000682</v>
      </c>
      <c r="L17" s="7" t="n">
        <v>-3.499999999999659</v>
      </c>
    </row>
    <row r="18">
      <c r="A18" s="12" t="n">
        <v>46105</v>
      </c>
      <c r="B18" s="8" t="n">
        <v>17</v>
      </c>
      <c r="C18" s="8" t="n">
        <v>4.435000000000002</v>
      </c>
      <c r="D18" s="8" t="n">
        <v>4.260000000000005</v>
      </c>
      <c r="E18" s="8" t="n">
        <v>4.060000000000002</v>
      </c>
      <c r="F18" s="8" t="n">
        <v>2.870000000000005</v>
      </c>
      <c r="G18" s="8" t="n">
        <v>2.790000000000006</v>
      </c>
      <c r="H18" s="8" t="n">
        <v>2.775000000000006</v>
      </c>
      <c r="I18" s="8" t="n">
        <v>-17.49999999999972</v>
      </c>
      <c r="J18" s="8" t="n">
        <v>20.00000000000028</v>
      </c>
      <c r="K18" s="8" t="n">
        <v>-7.999999999999829</v>
      </c>
      <c r="L18" s="8" t="n">
        <v>1.500000000000057</v>
      </c>
    </row>
    <row r="19">
      <c r="A19" s="13" t="n">
        <v>46106</v>
      </c>
      <c r="B19" s="7" t="n">
        <v>18</v>
      </c>
      <c r="C19" s="7" t="n">
        <v>4.364999999999995</v>
      </c>
      <c r="D19" s="7" t="n">
        <v>4.209999999999994</v>
      </c>
      <c r="E19" s="7" t="n">
        <v>3.995000000000005</v>
      </c>
      <c r="F19" s="7" t="n">
        <v>2.790000000000006</v>
      </c>
      <c r="G19" s="7" t="n">
        <v>2.730000000000004</v>
      </c>
      <c r="H19" s="7" t="n">
        <v>2.715000000000003</v>
      </c>
      <c r="I19" s="7" t="n">
        <v>-15.50000000000011</v>
      </c>
      <c r="J19" s="7" t="n">
        <v>21.49999999999888</v>
      </c>
      <c r="K19" s="7" t="n">
        <v>-6.000000000000227</v>
      </c>
      <c r="L19" s="7" t="n">
        <v>1.500000000000057</v>
      </c>
    </row>
    <row r="20">
      <c r="A20" s="12" t="n">
        <v>46107</v>
      </c>
      <c r="B20" s="8" t="n">
        <v>19</v>
      </c>
      <c r="C20" s="8" t="n">
        <v>4.480000000000004</v>
      </c>
      <c r="D20" s="8" t="n">
        <v>4.329999999999998</v>
      </c>
      <c r="E20" s="8" t="n">
        <v>4.120000000000005</v>
      </c>
      <c r="F20" s="8" t="n">
        <v>2.900000000000006</v>
      </c>
      <c r="G20" s="8" t="n">
        <v>2.849999999999994</v>
      </c>
      <c r="H20" s="8" t="n">
        <v>2.814999999999998</v>
      </c>
      <c r="I20" s="8" t="n">
        <v>-15.00000000000057</v>
      </c>
      <c r="J20" s="8" t="n">
        <v>20.99999999999937</v>
      </c>
      <c r="K20" s="8" t="n">
        <v>-5.000000000001137</v>
      </c>
      <c r="L20" s="8" t="n">
        <v>3.499999999999659</v>
      </c>
    </row>
    <row r="21">
      <c r="A21" s="13" t="n">
        <v>46108</v>
      </c>
      <c r="B21" s="7" t="n">
        <v>20</v>
      </c>
      <c r="C21" s="7" t="n">
        <v>4.469999999999999</v>
      </c>
      <c r="D21" s="7" t="n">
        <v>4.319999999999993</v>
      </c>
      <c r="E21" s="7" t="n">
        <v>4.155000000000001</v>
      </c>
      <c r="F21" s="7" t="n">
        <v>2.909999999999997</v>
      </c>
      <c r="G21" s="7" t="n">
        <v>2.894999999999996</v>
      </c>
      <c r="H21" s="7" t="n">
        <v>2.870000000000005</v>
      </c>
      <c r="I21" s="7" t="n">
        <v>-15.00000000000057</v>
      </c>
      <c r="J21" s="7" t="n">
        <v>16.4999999999992</v>
      </c>
      <c r="K21" s="7" t="n">
        <v>-1.500000000000057</v>
      </c>
      <c r="L21" s="7" t="n">
        <v>2.499999999999147</v>
      </c>
    </row>
    <row r="22">
      <c r="A22" s="12" t="n">
        <v>46111</v>
      </c>
      <c r="B22" s="8" t="n">
        <v>21</v>
      </c>
      <c r="C22" s="8" t="n">
        <v>4.409999999999997</v>
      </c>
      <c r="D22" s="8" t="n">
        <v>4.254999999999996</v>
      </c>
      <c r="E22" s="8" t="n">
        <v>4.090000000000003</v>
      </c>
      <c r="F22" s="8" t="n">
        <v>2.825000000000003</v>
      </c>
      <c r="G22" s="8" t="n">
        <v>2.790000000000006</v>
      </c>
      <c r="H22" s="8" t="n">
        <v>2.780000000000001</v>
      </c>
      <c r="I22" s="8" t="n">
        <v>-15.50000000000002</v>
      </c>
      <c r="J22" s="8" t="n">
        <v>16.49999999999929</v>
      </c>
      <c r="K22" s="8" t="n">
        <v>-3.499999999999659</v>
      </c>
      <c r="L22" s="8" t="n">
        <v>1.000000000000512</v>
      </c>
    </row>
    <row r="23">
      <c r="A23" s="13" t="n">
        <v>46112</v>
      </c>
      <c r="B23" s="7" t="n">
        <v>22</v>
      </c>
      <c r="C23" s="7" t="n">
        <v>4.359999999999999</v>
      </c>
      <c r="D23" s="7" t="n">
        <v>4.215000000000003</v>
      </c>
      <c r="E23" s="7" t="n">
        <v>4.079999999999998</v>
      </c>
      <c r="F23" s="7" t="n">
        <v>2.819999999999993</v>
      </c>
      <c r="G23" s="7" t="n">
        <v>2.769999999999996</v>
      </c>
      <c r="H23" s="7" t="n">
        <v>2.75</v>
      </c>
      <c r="I23" s="7" t="n">
        <v>-14.4999999999996</v>
      </c>
      <c r="J23" s="7" t="n">
        <v>13.50000000000051</v>
      </c>
      <c r="K23" s="7" t="n">
        <v>-4.999999999999716</v>
      </c>
      <c r="L23" s="7" t="n">
        <v>1.999999999999602</v>
      </c>
    </row>
    <row r="24">
      <c r="A24" s="12" t="n">
        <v>46113</v>
      </c>
      <c r="B24" s="8" t="n">
        <v>23</v>
      </c>
      <c r="C24" s="8" t="n">
        <v>4.230000000000004</v>
      </c>
      <c r="D24" s="8" t="n">
        <v>4.129999999999996</v>
      </c>
      <c r="E24" s="8" t="n">
        <v>4.010000000000005</v>
      </c>
      <c r="F24" s="8" t="n">
        <v>2.754999999999995</v>
      </c>
      <c r="G24" s="8" t="n">
        <v>2.734999999999999</v>
      </c>
      <c r="H24" s="8" t="n">
        <v>2.719999999999999</v>
      </c>
      <c r="I24" s="8" t="n">
        <v>-10.00000000000076</v>
      </c>
      <c r="J24" s="8" t="n">
        <v>11.99999999999912</v>
      </c>
      <c r="K24" s="8" t="n">
        <v>-1.999999999999602</v>
      </c>
      <c r="L24" s="8" t="n">
        <v>1.500000000000057</v>
      </c>
    </row>
    <row r="25">
      <c r="A25" s="13" t="n">
        <v>46114</v>
      </c>
      <c r="B25" s="7" t="n">
        <v>24</v>
      </c>
      <c r="C25" s="7" t="n">
        <v>4.269999999999996</v>
      </c>
      <c r="D25" s="7" t="n">
        <v>4.150000000000006</v>
      </c>
      <c r="E25" s="7" t="n">
        <v>4</v>
      </c>
      <c r="F25" s="7" t="n">
        <v>2.795000000000002</v>
      </c>
      <c r="G25" s="7" t="n">
        <v>2.745000000000005</v>
      </c>
      <c r="H25" s="7" t="n">
        <v>2.709999999999994</v>
      </c>
      <c r="I25" s="7" t="n">
        <v>-11.99999999999903</v>
      </c>
      <c r="J25" s="7" t="n">
        <v>15.00000000000057</v>
      </c>
      <c r="K25" s="7" t="n">
        <v>-4.999999999999716</v>
      </c>
      <c r="L25" s="7" t="n">
        <v>3.50000000000108</v>
      </c>
    </row>
    <row r="26">
      <c r="A26" s="12" t="n">
        <v>46119</v>
      </c>
      <c r="B26" s="8" t="n">
        <v>25</v>
      </c>
      <c r="C26" s="8" t="n">
        <v>4.405000000000001</v>
      </c>
      <c r="D26" s="8" t="n">
        <v>4.275000000000006</v>
      </c>
      <c r="E26" s="8" t="n">
        <v>4.094999999999999</v>
      </c>
      <c r="F26" s="8" t="n">
        <v>2.930000000000007</v>
      </c>
      <c r="G26" s="8" t="n">
        <v>2.890000000000001</v>
      </c>
      <c r="H26" s="8" t="n">
        <v>2.829999999999998</v>
      </c>
      <c r="I26" s="8" t="n">
        <v>-12.99999999999955</v>
      </c>
      <c r="J26" s="8" t="n">
        <v>18.00000000000068</v>
      </c>
      <c r="K26" s="8" t="n">
        <v>-4.000000000000581</v>
      </c>
      <c r="L26" s="8" t="n">
        <v>6.000000000000272</v>
      </c>
    </row>
    <row r="27">
      <c r="A27" s="13" t="n">
        <v>46120</v>
      </c>
      <c r="B27" s="7" t="n">
        <v>26</v>
      </c>
      <c r="C27" s="7" t="n">
        <v>4.084999999999994</v>
      </c>
      <c r="D27" s="7" t="n">
        <v>3.985</v>
      </c>
      <c r="E27" s="7" t="n">
        <v>3.915000000000006</v>
      </c>
      <c r="F27" s="7" t="n">
        <v>2.605000000000004</v>
      </c>
      <c r="G27" s="7" t="n">
        <v>2.584999999999994</v>
      </c>
      <c r="H27" s="7" t="n">
        <v>2.650000000000006</v>
      </c>
      <c r="I27" s="7" t="n">
        <v>-9.999999999999387</v>
      </c>
      <c r="J27" s="7" t="n">
        <v>6.999999999999362</v>
      </c>
      <c r="K27" s="7" t="n">
        <v>-2.000000000001023</v>
      </c>
      <c r="L27" s="7" t="n">
        <v>-6.500000000001194</v>
      </c>
    </row>
    <row r="28">
      <c r="A28" s="12" t="n">
        <v>46121</v>
      </c>
      <c r="B28" s="8" t="n">
        <v>27</v>
      </c>
      <c r="C28" s="8" t="n">
        <v>4.140000000000001</v>
      </c>
      <c r="D28" s="8" t="n">
        <v>4.060000000000002</v>
      </c>
      <c r="E28" s="8" t="n">
        <v>3.995000000000005</v>
      </c>
      <c r="F28" s="8" t="n">
        <v>2.689999999999998</v>
      </c>
      <c r="G28" s="8" t="n">
        <v>2.685000000000002</v>
      </c>
      <c r="H28" s="8" t="n">
        <v>2.730000000000004</v>
      </c>
      <c r="I28" s="8" t="n">
        <v>-7.999999999999829</v>
      </c>
      <c r="J28" s="8" t="n">
        <v>6.499999999999728</v>
      </c>
      <c r="K28" s="8" t="n">
        <v>-0.4999999999995453</v>
      </c>
      <c r="L28" s="8" t="n">
        <v>-4.500000000000171</v>
      </c>
    </row>
    <row r="29">
      <c r="A29" s="13" t="n">
        <v>46122</v>
      </c>
      <c r="B29" s="7" t="n">
        <v>28</v>
      </c>
      <c r="C29" s="7" t="n">
        <v>4.165000000000006</v>
      </c>
      <c r="D29" s="7" t="n">
        <v>4.064999999999998</v>
      </c>
      <c r="E29" s="7" t="n">
        <v>4.004999999999996</v>
      </c>
      <c r="F29" s="7" t="n">
        <v>2.704999999999998</v>
      </c>
      <c r="G29" s="7" t="n">
        <v>2.689999999999998</v>
      </c>
      <c r="H29" s="7" t="n">
        <v>2.724999999999994</v>
      </c>
      <c r="I29" s="7" t="n">
        <v>-10.00000000000085</v>
      </c>
      <c r="J29" s="7" t="n">
        <v>6.000000000000139</v>
      </c>
      <c r="K29" s="7" t="n">
        <v>-1.500000000000057</v>
      </c>
      <c r="L29" s="7" t="n">
        <v>-3.499999999999659</v>
      </c>
    </row>
    <row r="30">
      <c r="A30" s="12" t="n">
        <v>46125</v>
      </c>
      <c r="B30" s="8" t="n">
        <v>29</v>
      </c>
      <c r="C30" s="8" t="n">
        <v>4.239999999999995</v>
      </c>
      <c r="D30" s="8" t="n">
        <v>4.125</v>
      </c>
      <c r="E30" s="8" t="n">
        <v>4.045000000000002</v>
      </c>
      <c r="F30" s="8" t="n">
        <v>2.780000000000001</v>
      </c>
      <c r="G30" s="8" t="n">
        <v>2.760000000000005</v>
      </c>
      <c r="H30" s="8" t="n">
        <v>2.769999999999996</v>
      </c>
      <c r="I30" s="8" t="n">
        <v>-11.49999999999949</v>
      </c>
      <c r="J30" s="8" t="n">
        <v>7.999999999999829</v>
      </c>
      <c r="K30" s="8" t="n">
        <v>-1.999999999999602</v>
      </c>
      <c r="L30" s="8" t="n">
        <v>-0.9999999999990905</v>
      </c>
    </row>
    <row r="31">
      <c r="A31" s="13" t="n">
        <v>46126</v>
      </c>
      <c r="B31" s="7" t="n">
        <v>30</v>
      </c>
      <c r="C31" s="7" t="n">
        <v>4.129999999999996</v>
      </c>
      <c r="D31" s="7" t="n">
        <v>4.025000000000006</v>
      </c>
      <c r="E31" s="7" t="n">
        <v>3.989999999999995</v>
      </c>
      <c r="F31" s="7" t="n">
        <v>2.665000000000006</v>
      </c>
      <c r="G31" s="7" t="n">
        <v>2.650000000000006</v>
      </c>
      <c r="H31" s="7" t="n">
        <v>2.709999999999994</v>
      </c>
      <c r="I31" s="7" t="n">
        <v>-10.49999999999907</v>
      </c>
      <c r="J31" s="7" t="n">
        <v>3.50000000000108</v>
      </c>
      <c r="K31" s="7" t="n">
        <v>-1.500000000000057</v>
      </c>
      <c r="L31" s="7" t="n">
        <v>-5.999999999998806</v>
      </c>
    </row>
    <row r="32">
      <c r="A32" s="12" t="n">
        <v>46127</v>
      </c>
      <c r="B32" s="8" t="n">
        <v>31</v>
      </c>
      <c r="C32" s="8" t="n">
        <v>4.129999999999996</v>
      </c>
      <c r="D32" s="8" t="n">
        <v>4.010000000000005</v>
      </c>
      <c r="E32" s="8" t="n">
        <v>3.980000000000004</v>
      </c>
      <c r="F32" s="8" t="n">
        <v>2.650000000000006</v>
      </c>
      <c r="G32" s="8" t="n">
        <v>2.640000000000001</v>
      </c>
      <c r="H32" s="8" t="n">
        <v>2.704999999999998</v>
      </c>
      <c r="I32" s="8" t="n">
        <v>-11.99999999999912</v>
      </c>
      <c r="J32" s="8" t="n">
        <v>3.000000000000114</v>
      </c>
      <c r="K32" s="8" t="n">
        <v>-1.000000000000467</v>
      </c>
      <c r="L32" s="8" t="n">
        <v>-6.499999999999728</v>
      </c>
    </row>
    <row r="33">
      <c r="A33" s="13" t="n">
        <v>46128</v>
      </c>
      <c r="B33" s="7" t="n">
        <v>32</v>
      </c>
      <c r="C33" s="7" t="n">
        <v>4.120000000000005</v>
      </c>
      <c r="D33" s="7" t="n">
        <v>4.015000000000001</v>
      </c>
      <c r="E33" s="7" t="n">
        <v>4.004999999999996</v>
      </c>
      <c r="F33" s="7" t="n">
        <v>2.625</v>
      </c>
      <c r="G33" s="7" t="n">
        <v>2.629999999999995</v>
      </c>
      <c r="H33" s="7" t="n">
        <v>2.709999999999994</v>
      </c>
      <c r="I33" s="7" t="n">
        <v>-10.5000000000004</v>
      </c>
      <c r="J33" s="7" t="n">
        <v>1.000000000000423</v>
      </c>
      <c r="K33" s="7" t="n">
        <v>0.4999999999995453</v>
      </c>
      <c r="L33" s="7" t="n">
        <v>-7.999999999999829</v>
      </c>
    </row>
    <row r="34">
      <c r="A34" s="12" t="n">
        <v>46129</v>
      </c>
      <c r="B34" s="8" t="n">
        <v>33</v>
      </c>
      <c r="C34" s="8" t="n">
        <v>3.985</v>
      </c>
      <c r="D34" s="8" t="n">
        <v>3.870000000000005</v>
      </c>
      <c r="E34" s="8" t="n">
        <v>3.885000000000005</v>
      </c>
      <c r="F34" s="8" t="n">
        <v>2.5</v>
      </c>
      <c r="G34" s="8" t="n">
        <v>2.515000000000001</v>
      </c>
      <c r="H34" s="8" t="n">
        <v>2.629999999999995</v>
      </c>
      <c r="I34" s="8" t="n">
        <v>-11.49999999999949</v>
      </c>
      <c r="J34" s="8" t="n">
        <v>-1.500000000000012</v>
      </c>
      <c r="K34" s="8" t="n">
        <v>1.500000000000101</v>
      </c>
      <c r="L34" s="8" t="n">
        <v>-11.49999999999944</v>
      </c>
    </row>
    <row r="35">
      <c r="A35" s="13" t="n">
        <v>46132</v>
      </c>
      <c r="B35" s="7" t="n">
        <v>34</v>
      </c>
      <c r="C35" s="7" t="n">
        <v>4.049999999999997</v>
      </c>
      <c r="D35" s="7" t="n">
        <v>3.954999999999998</v>
      </c>
      <c r="E35" s="7" t="n">
        <v>3.959999999999994</v>
      </c>
      <c r="F35" s="7" t="n">
        <v>2.545000000000002</v>
      </c>
      <c r="G35" s="7" t="n">
        <v>2.549999999999997</v>
      </c>
      <c r="H35" s="7" t="n">
        <v>2.640000000000001</v>
      </c>
      <c r="I35" s="7" t="n">
        <v>-9.499999999999886</v>
      </c>
      <c r="J35" s="7" t="n">
        <v>-0.4999999999995453</v>
      </c>
      <c r="K35" s="7" t="n">
        <v>0.4999999999995453</v>
      </c>
      <c r="L35" s="7" t="n">
        <v>-9.000000000000385</v>
      </c>
    </row>
    <row r="36">
      <c r="A36" s="12" t="n">
        <v>46133</v>
      </c>
      <c r="B36" s="8" t="n">
        <v>35</v>
      </c>
      <c r="C36" s="8" t="n">
        <v>4.165000000000006</v>
      </c>
      <c r="D36" s="8" t="n">
        <v>4.049999999999997</v>
      </c>
      <c r="E36" s="8" t="n">
        <v>4.010000000000005</v>
      </c>
      <c r="F36" s="8" t="n">
        <v>2.614999999999995</v>
      </c>
      <c r="G36" s="8" t="n">
        <v>2.609999999999999</v>
      </c>
      <c r="H36" s="8" t="n">
        <v>2.674999999999997</v>
      </c>
      <c r="I36" s="8" t="n">
        <v>-11.50000000000091</v>
      </c>
      <c r="J36" s="8" t="n">
        <v>3.999999999999204</v>
      </c>
      <c r="K36" s="8" t="n">
        <v>-0.4999999999995453</v>
      </c>
      <c r="L36" s="8" t="n">
        <v>-6.499999999999773</v>
      </c>
    </row>
    <row r="37">
      <c r="A37" s="13" t="n">
        <v>46134</v>
      </c>
      <c r="B37" s="7" t="n">
        <v>36</v>
      </c>
      <c r="C37" s="7" t="n">
        <v>4.230000000000004</v>
      </c>
      <c r="D37" s="7" t="n">
        <v>4.120000000000005</v>
      </c>
      <c r="E37" s="7" t="n">
        <v>4.040000000000006</v>
      </c>
      <c r="F37" s="7" t="n">
        <v>2.659999999999997</v>
      </c>
      <c r="G37" s="7" t="n">
        <v>2.655000000000001</v>
      </c>
      <c r="H37" s="7" t="n">
        <v>2.689999999999998</v>
      </c>
      <c r="I37" s="7" t="n">
        <v>-10.99999999999994</v>
      </c>
      <c r="J37" s="7" t="n">
        <v>7.999999999999829</v>
      </c>
      <c r="K37" s="7" t="n">
        <v>-0.4999999999995453</v>
      </c>
      <c r="L37" s="7" t="n">
        <v>-3.499999999999659</v>
      </c>
    </row>
    <row r="38">
      <c r="A38" s="12" t="n">
        <v>46135</v>
      </c>
      <c r="B38" s="8" t="n">
        <v>37</v>
      </c>
      <c r="C38" s="8" t="n">
        <v>4.275000000000006</v>
      </c>
      <c r="D38" s="8" t="n">
        <v>4.170000000000002</v>
      </c>
      <c r="E38" s="8" t="n">
        <v>4.084999999999994</v>
      </c>
      <c r="F38" s="8" t="n">
        <v>2.674999999999997</v>
      </c>
      <c r="G38" s="8" t="n">
        <v>2.665000000000006</v>
      </c>
      <c r="H38" s="8" t="n">
        <v>2.704999999999998</v>
      </c>
      <c r="I38" s="8" t="n">
        <v>-10.5000000000004</v>
      </c>
      <c r="J38" s="8" t="n">
        <v>8.500000000000796</v>
      </c>
      <c r="K38" s="8" t="n">
        <v>-0.9999999999990905</v>
      </c>
      <c r="L38" s="8" t="n">
        <v>-3.999999999999204</v>
      </c>
    </row>
    <row r="39">
      <c r="A39" s="13" t="n">
        <v>46136</v>
      </c>
      <c r="B39" s="7" t="n">
        <v>38</v>
      </c>
      <c r="C39" s="7" t="n">
        <v>4.299999999999997</v>
      </c>
      <c r="D39" s="7" t="n">
        <v>4.200000000000003</v>
      </c>
      <c r="E39" s="7" t="n">
        <v>4.105000000000004</v>
      </c>
      <c r="F39" s="7" t="n">
        <v>2.685000000000002</v>
      </c>
      <c r="G39" s="7" t="n">
        <v>2.670000000000002</v>
      </c>
      <c r="H39" s="7" t="n">
        <v>2.700000000000003</v>
      </c>
      <c r="I39" s="7" t="n">
        <v>-9.999999999999432</v>
      </c>
      <c r="J39" s="7" t="n">
        <v>9.499999999999886</v>
      </c>
      <c r="K39" s="7" t="n">
        <v>-1.500000000000057</v>
      </c>
      <c r="L39" s="7" t="n">
        <v>-3.000000000000114</v>
      </c>
    </row>
    <row r="40">
      <c r="A40" s="12" t="n">
        <v>46139</v>
      </c>
      <c r="B40" s="8" t="n">
        <v>39</v>
      </c>
      <c r="C40" s="8" t="n">
        <v>4.314999999999998</v>
      </c>
      <c r="D40" s="8" t="n">
        <v>4.209999999999994</v>
      </c>
      <c r="E40" s="8" t="n">
        <v>4.114999999999995</v>
      </c>
      <c r="F40" s="8" t="n">
        <v>2.694999999999993</v>
      </c>
      <c r="G40" s="8" t="n">
        <v>2.685000000000002</v>
      </c>
      <c r="H40" s="8" t="n">
        <v>2.715000000000003</v>
      </c>
      <c r="I40" s="8" t="n">
        <v>-10.5000000000004</v>
      </c>
      <c r="J40" s="8" t="n">
        <v>9.499999999999886</v>
      </c>
      <c r="K40" s="8" t="n">
        <v>-0.9999999999990905</v>
      </c>
      <c r="L40" s="8" t="n">
        <v>-3.000000000000114</v>
      </c>
    </row>
    <row r="41">
      <c r="A41" s="13" t="n">
        <v>46140</v>
      </c>
      <c r="B41" s="7" t="n">
        <v>40</v>
      </c>
      <c r="C41" s="7" t="n">
        <v>4.375</v>
      </c>
      <c r="D41" s="7" t="n">
        <v>4.269999999999996</v>
      </c>
      <c r="E41" s="7" t="n">
        <v>4.155000000000001</v>
      </c>
      <c r="F41" s="7" t="n">
        <v>2.784999999999997</v>
      </c>
      <c r="G41" s="7" t="n">
        <v>2.745000000000005</v>
      </c>
      <c r="H41" s="7" t="n">
        <v>2.745000000000005</v>
      </c>
      <c r="I41" s="7" t="n">
        <v>-10.5000000000004</v>
      </c>
      <c r="J41" s="7" t="n">
        <v>11.49999999999949</v>
      </c>
      <c r="K41" s="7" t="n">
        <v>-3.999999999999204</v>
      </c>
      <c r="L41" s="7" t="n">
        <v>0</v>
      </c>
    </row>
    <row r="42">
      <c r="A42" s="12" t="n">
        <v>46141</v>
      </c>
      <c r="B42" s="8" t="n">
        <v>41</v>
      </c>
      <c r="C42" s="8" t="n">
        <v>4.504999999999996</v>
      </c>
      <c r="D42" s="8" t="n">
        <v>4.390000000000001</v>
      </c>
      <c r="E42" s="8" t="n">
        <v>4.215000000000003</v>
      </c>
      <c r="F42" s="8" t="n">
        <v>2.885000000000005</v>
      </c>
      <c r="G42" s="8" t="n">
        <v>2.829999999999998</v>
      </c>
      <c r="H42" s="8" t="n">
        <v>2.784999999999997</v>
      </c>
      <c r="I42" s="8" t="n">
        <v>-11.49999999999958</v>
      </c>
      <c r="J42" s="8" t="n">
        <v>17.49999999999972</v>
      </c>
      <c r="K42" s="8" t="n">
        <v>-5.500000000000682</v>
      </c>
      <c r="L42" s="8" t="n">
        <v>4.500000000000171</v>
      </c>
    </row>
    <row r="43">
      <c r="A43" s="13" t="n">
        <v>46142</v>
      </c>
      <c r="B43" s="7" t="n">
        <v>42</v>
      </c>
      <c r="C43" s="7" t="n">
        <v>4.409999999999997</v>
      </c>
      <c r="D43" s="7" t="n">
        <v>4.295000000000002</v>
      </c>
      <c r="E43" s="7" t="n">
        <v>4.155000000000001</v>
      </c>
      <c r="F43" s="7" t="n">
        <v>2.825000000000003</v>
      </c>
      <c r="G43" s="7" t="n">
        <v>2.754999999999995</v>
      </c>
      <c r="H43" s="7" t="n">
        <v>2.704999999999998</v>
      </c>
      <c r="I43" s="7" t="n">
        <v>-11.49999999999949</v>
      </c>
      <c r="J43" s="7" t="n">
        <v>14.00000000000006</v>
      </c>
      <c r="K43" s="7" t="n">
        <v>-7.000000000000739</v>
      </c>
      <c r="L43" s="7" t="n">
        <v>4.999999999999716</v>
      </c>
    </row>
    <row r="44">
      <c r="A44" s="12" t="n">
        <v>46147</v>
      </c>
      <c r="B44" s="8" t="n">
        <v>43</v>
      </c>
      <c r="C44" s="8" t="n">
        <v>4.459999999999994</v>
      </c>
      <c r="D44" s="8" t="n">
        <v>4.385000000000005</v>
      </c>
      <c r="E44" s="8" t="n">
        <v>4.239999999999995</v>
      </c>
      <c r="F44" s="8" t="n">
        <v>2.864999999999995</v>
      </c>
      <c r="G44" s="8" t="n">
        <v>2.805000000000007</v>
      </c>
      <c r="H44" s="8" t="n">
        <v>2.739999999999995</v>
      </c>
      <c r="I44" s="8" t="n">
        <v>-7.499999999998863</v>
      </c>
      <c r="J44" s="8" t="n">
        <v>14.50000000000102</v>
      </c>
      <c r="K44" s="8" t="n">
        <v>-5.999999999998806</v>
      </c>
      <c r="L44" s="8" t="n">
        <v>6.500000000001194</v>
      </c>
    </row>
    <row r="45">
      <c r="A45" s="13" t="n">
        <v>46148</v>
      </c>
      <c r="B45" s="7" t="n">
        <v>44</v>
      </c>
      <c r="C45" s="7" t="n">
        <v>4.305000000000007</v>
      </c>
      <c r="D45" s="7" t="n">
        <v>4.230000000000004</v>
      </c>
      <c r="E45" s="7" t="n">
        <v>4.114999999999995</v>
      </c>
      <c r="F45" s="7" t="n">
        <v>2.689999999999998</v>
      </c>
      <c r="G45" s="7" t="n">
        <v>2.655000000000001</v>
      </c>
      <c r="H45" s="7" t="n">
        <v>2.655000000000001</v>
      </c>
      <c r="I45" s="7" t="n">
        <v>-7.500000000000284</v>
      </c>
      <c r="J45" s="7" t="n">
        <v>11.50000000000091</v>
      </c>
      <c r="K45" s="7" t="n">
        <v>-3.499999999999659</v>
      </c>
      <c r="L45" s="7" t="n">
        <v>0</v>
      </c>
    </row>
    <row r="46">
      <c r="A46" s="12" t="n">
        <v>46149</v>
      </c>
      <c r="B46" s="8" t="n">
        <v>45</v>
      </c>
      <c r="C46" s="8" t="n">
        <v>4.290000000000006</v>
      </c>
      <c r="D46" s="8" t="n">
        <v>4.204999999999998</v>
      </c>
      <c r="E46" s="8" t="n">
        <v>4.105000000000004</v>
      </c>
      <c r="F46" s="8" t="n">
        <v>2.689999999999998</v>
      </c>
      <c r="G46" s="8" t="n">
        <v>2.659999999999997</v>
      </c>
      <c r="H46" s="8" t="n">
        <v>2.655000000000001</v>
      </c>
      <c r="I46" s="8" t="n">
        <v>-8.500000000000796</v>
      </c>
      <c r="J46" s="8" t="n">
        <v>9.999999999999432</v>
      </c>
      <c r="K46" s="8" t="n">
        <v>-3.000000000000114</v>
      </c>
      <c r="L46" s="8" t="n">
        <v>0.4999999999995453</v>
      </c>
    </row>
    <row r="47">
      <c r="A47" s="13" t="n">
        <v>46150</v>
      </c>
      <c r="B47" s="7" t="n">
        <v>46</v>
      </c>
      <c r="C47" s="7" t="n">
        <v>4.319999999999993</v>
      </c>
      <c r="D47" s="7" t="n">
        <v>4.224999999999994</v>
      </c>
      <c r="E47" s="7" t="n">
        <v>4.105000000000004</v>
      </c>
      <c r="F47" s="7" t="n">
        <v>2.719999999999999</v>
      </c>
      <c r="G47" s="7" t="n">
        <v>2.685000000000002</v>
      </c>
      <c r="H47" s="7" t="n">
        <v>2.659999999999997</v>
      </c>
      <c r="I47" s="7" t="n">
        <v>-9.499999999999886</v>
      </c>
      <c r="J47" s="7" t="n">
        <v>11.99999999999903</v>
      </c>
      <c r="K47" s="7" t="n">
        <v>-3.499999999999659</v>
      </c>
      <c r="L47" s="7" t="n">
        <v>2.500000000000568</v>
      </c>
    </row>
    <row r="48">
      <c r="A48" s="12" t="n">
        <v>46153</v>
      </c>
      <c r="B48" s="8" t="n">
        <v>47</v>
      </c>
      <c r="C48" s="8" t="n">
        <v>4.405000000000001</v>
      </c>
      <c r="D48" s="8" t="n">
        <v>4.340000000000003</v>
      </c>
      <c r="E48" s="8" t="n">
        <v>4.200000000000003</v>
      </c>
      <c r="F48" s="8" t="n">
        <v>2.790000000000006</v>
      </c>
      <c r="G48" s="8" t="n">
        <v>2.765000000000001</v>
      </c>
      <c r="H48" s="8" t="n">
        <v>2.700000000000003</v>
      </c>
      <c r="I48" s="8" t="n">
        <v>-6.499999999999773</v>
      </c>
      <c r="J48" s="8" t="n">
        <v>14.00000000000006</v>
      </c>
      <c r="K48" s="8" t="n">
        <v>-2.500000000000524</v>
      </c>
      <c r="L48" s="8" t="n">
        <v>6.499999999999817</v>
      </c>
    </row>
    <row r="49">
      <c r="A49" s="13" t="n">
        <v>46154</v>
      </c>
      <c r="B49" s="7" t="n">
        <v>48</v>
      </c>
      <c r="C49" s="7" t="n">
        <v>4.469999999999999</v>
      </c>
      <c r="D49" s="7" t="n">
        <v>4.454999999999998</v>
      </c>
      <c r="E49" s="7" t="n">
        <v>4.295000000000002</v>
      </c>
      <c r="F49" s="7" t="n">
        <v>2.840000000000003</v>
      </c>
      <c r="G49" s="7" t="n">
        <v>2.829999999999998</v>
      </c>
      <c r="H49" s="7" t="n">
        <v>2.775000000000006</v>
      </c>
      <c r="I49" s="7" t="n">
        <v>-1.500000000000057</v>
      </c>
      <c r="J49" s="7" t="n">
        <v>15.99999999999966</v>
      </c>
      <c r="K49" s="7" t="n">
        <v>-1.000000000000512</v>
      </c>
      <c r="L49" s="7" t="n">
        <v>5.499999999999261</v>
      </c>
    </row>
    <row r="50">
      <c r="A50" s="12" t="n">
        <v>46155</v>
      </c>
      <c r="B50" s="8" t="n">
        <v>49</v>
      </c>
      <c r="C50" s="8" t="n">
        <v>4.420000000000002</v>
      </c>
      <c r="D50" s="8" t="n">
        <v>4.430000000000007</v>
      </c>
      <c r="E50" s="8" t="n">
        <v>4.275000000000006</v>
      </c>
      <c r="F50" s="8" t="n">
        <v>2.840000000000003</v>
      </c>
      <c r="G50" s="8" t="n">
        <v>2.844999999999999</v>
      </c>
      <c r="H50" s="8" t="n">
        <v>2.790000000000006</v>
      </c>
      <c r="I50" s="8" t="n">
        <v>1.000000000000512</v>
      </c>
      <c r="J50" s="8" t="n">
        <v>15.50000000000011</v>
      </c>
      <c r="K50" s="8" t="n">
        <v>0.4999999999995453</v>
      </c>
      <c r="L50" s="8" t="n">
        <v>5.499999999999261</v>
      </c>
    </row>
    <row r="51">
      <c r="A51" s="13" t="n">
        <v>46156</v>
      </c>
      <c r="B51" s="7" t="n">
        <v>50</v>
      </c>
      <c r="C51" s="7" t="n">
        <v>4.364999999999995</v>
      </c>
      <c r="D51" s="7" t="n">
        <v>4.359999999999999</v>
      </c>
      <c r="E51" s="7" t="n">
        <v>4.230000000000004</v>
      </c>
      <c r="F51" s="7" t="n">
        <v>2.780000000000001</v>
      </c>
      <c r="G51" s="7" t="n">
        <v>2.784999999999997</v>
      </c>
      <c r="H51" s="7" t="n">
        <v>2.745000000000005</v>
      </c>
      <c r="I51" s="7" t="n">
        <v>-0.4999999999995453</v>
      </c>
      <c r="J51" s="7" t="n">
        <v>12.99999999999955</v>
      </c>
      <c r="K51" s="7" t="n">
        <v>0.4999999999995453</v>
      </c>
      <c r="L51" s="7" t="n">
        <v>3.999999999999204</v>
      </c>
    </row>
    <row r="52">
      <c r="A52" s="12" t="n">
        <v>46157</v>
      </c>
      <c r="B52" s="8" t="n">
        <v>51</v>
      </c>
      <c r="C52" s="8" t="n">
        <v>4.444999999999993</v>
      </c>
      <c r="D52" s="8" t="n">
        <v>4.510000000000005</v>
      </c>
      <c r="E52" s="8" t="n">
        <v>4.385000000000005</v>
      </c>
      <c r="F52" s="8" t="n">
        <v>2.840000000000003</v>
      </c>
      <c r="G52" s="8" t="n">
        <v>2.879999999999995</v>
      </c>
      <c r="H52" s="8" t="n">
        <v>2.840000000000003</v>
      </c>
      <c r="I52" s="8" t="n">
        <v>6.500000000001194</v>
      </c>
      <c r="J52" s="8" t="n">
        <v>12.5</v>
      </c>
      <c r="K52" s="8" t="n">
        <v>3.999999999999204</v>
      </c>
      <c r="L52" s="8" t="n">
        <v>3.999999999999204</v>
      </c>
    </row>
    <row r="53">
      <c r="A53" s="13" t="n">
        <v>46160</v>
      </c>
      <c r="B53" s="7" t="n">
        <v>52</v>
      </c>
      <c r="C53" s="7" t="n">
        <v>4.405000000000001</v>
      </c>
      <c r="D53" s="7" t="n">
        <v>4.5</v>
      </c>
      <c r="E53" s="7" t="n">
        <v>4.370000000000005</v>
      </c>
      <c r="F53" s="7" t="n">
        <v>2.819999999999993</v>
      </c>
      <c r="G53" s="7" t="n">
        <v>2.875</v>
      </c>
      <c r="H53" s="7" t="n">
        <v>2.855000000000004</v>
      </c>
      <c r="I53" s="7" t="n">
        <v>9.499999999999886</v>
      </c>
      <c r="J53" s="7" t="n">
        <v>12.99999999999955</v>
      </c>
      <c r="K53" s="7" t="n">
        <v>5.500000000000682</v>
      </c>
      <c r="L53" s="7" t="n">
        <v>1.999999999999602</v>
      </c>
    </row>
    <row r="54">
      <c r="A54" s="12" t="n">
        <v>46161</v>
      </c>
      <c r="B54" s="8" t="n">
        <v>53</v>
      </c>
      <c r="C54" s="8" t="n">
        <v>4.390000000000001</v>
      </c>
      <c r="D54" s="8" t="n">
        <v>4.480000000000004</v>
      </c>
      <c r="E54" s="8" t="n">
        <v>4.364999999999995</v>
      </c>
      <c r="F54" s="8" t="n">
        <v>2.834999999999994</v>
      </c>
      <c r="G54" s="8" t="n">
        <v>2.915000000000006</v>
      </c>
      <c r="H54" s="8" t="n">
        <v>2.875</v>
      </c>
      <c r="I54" s="8" t="n">
        <v>9.000000000000341</v>
      </c>
      <c r="J54" s="8" t="n">
        <v>11.50000000000091</v>
      </c>
      <c r="K54" s="8" t="n">
        <v>8.000000000001251</v>
      </c>
      <c r="L54" s="8" t="n">
        <v>4.000000000000625</v>
      </c>
    </row>
    <row r="55">
      <c r="A55" s="13" t="n">
        <v>46162</v>
      </c>
      <c r="B55" s="7" t="n">
        <v>54</v>
      </c>
      <c r="C55" s="7" t="n">
        <v>4.265000000000001</v>
      </c>
      <c r="D55" s="7" t="n">
        <v>4.334999999999994</v>
      </c>
      <c r="E55" s="7" t="n">
        <v>4.239999999999995</v>
      </c>
      <c r="F55" s="7" t="n">
        <v>2.745000000000005</v>
      </c>
      <c r="G55" s="7" t="n">
        <v>2.805000000000007</v>
      </c>
      <c r="H55" s="7" t="n">
        <v>2.790000000000006</v>
      </c>
      <c r="I55" s="7" t="n">
        <v>6.999999999999318</v>
      </c>
      <c r="J55" s="7" t="n">
        <v>9.499999999999886</v>
      </c>
      <c r="K55" s="7" t="n">
        <v>6.000000000000227</v>
      </c>
      <c r="L55" s="7" t="n">
        <v>1.500000000000057</v>
      </c>
    </row>
    <row r="56">
      <c r="A56" s="12" t="n">
        <v>46163</v>
      </c>
      <c r="B56" s="8" t="n">
        <v>55</v>
      </c>
      <c r="C56" s="8" t="n">
        <v>4.284999999999997</v>
      </c>
      <c r="D56" s="8" t="n">
        <v>4.319999999999993</v>
      </c>
      <c r="E56" s="8" t="n">
        <v>4.209999999999994</v>
      </c>
      <c r="F56" s="8" t="n">
        <v>2.775000000000006</v>
      </c>
      <c r="G56" s="8" t="n">
        <v>2.819999999999993</v>
      </c>
      <c r="H56" s="8" t="n">
        <v>2.795000000000002</v>
      </c>
      <c r="I56" s="8" t="n">
        <v>3.499999999999659</v>
      </c>
      <c r="J56" s="8" t="n">
        <v>10.99999999999994</v>
      </c>
      <c r="K56" s="8" t="n">
        <v>4.499999999998749</v>
      </c>
      <c r="L56" s="8" t="n">
        <v>2.499999999999147</v>
      </c>
    </row>
    <row r="57">
      <c r="A57" s="13" t="n">
        <v>46164</v>
      </c>
      <c r="B57" s="7" t="n">
        <v>56</v>
      </c>
      <c r="C57" s="7" t="n">
        <v>4.245000000000005</v>
      </c>
      <c r="D57" s="7" t="n">
        <v>4.275000000000006</v>
      </c>
      <c r="E57" s="7" t="n">
        <v>4.150000000000006</v>
      </c>
      <c r="F57" s="7" t="n">
        <v>2.734999999999999</v>
      </c>
      <c r="G57" s="7" t="n">
        <v>2.765000000000001</v>
      </c>
      <c r="H57" s="7" t="n">
        <v>2.724999999999994</v>
      </c>
      <c r="I57" s="7" t="n">
        <v>3.000000000000114</v>
      </c>
      <c r="J57" s="7" t="n">
        <v>12.5</v>
      </c>
      <c r="K57" s="7" t="n">
        <v>3.000000000000158</v>
      </c>
      <c r="L57" s="7" t="n">
        <v>4.00000000000067</v>
      </c>
    </row>
    <row r="58">
      <c r="A58" s="12" t="n">
        <v>46168</v>
      </c>
      <c r="B58" s="8" t="n">
        <v>57</v>
      </c>
      <c r="C58" s="8" t="n">
        <v>4.200000000000003</v>
      </c>
      <c r="D58" s="8" t="n">
        <v>4.209999999999994</v>
      </c>
      <c r="E58" s="8" t="n">
        <v>4.109999999999999</v>
      </c>
      <c r="F58" s="8" t="n">
        <v>2.689999999999998</v>
      </c>
      <c r="G58" s="8" t="n">
        <v>2.694999999999993</v>
      </c>
      <c r="H58" s="8" t="n">
        <v>2.665000000000006</v>
      </c>
      <c r="I58" s="8" t="n">
        <v>0.9999999999990905</v>
      </c>
      <c r="J58" s="8" t="n">
        <v>9.999999999999432</v>
      </c>
      <c r="K58" s="8" t="n">
        <v>0.4999999999995453</v>
      </c>
      <c r="L58" s="8" t="n">
        <v>2.999999999998693</v>
      </c>
    </row>
    <row r="59">
      <c r="A59" s="13" t="n">
        <v>46169</v>
      </c>
      <c r="B59" s="7" t="n">
        <v>58</v>
      </c>
      <c r="C59" s="7" t="n">
        <v>4.155000000000001</v>
      </c>
      <c r="D59" s="7" t="n">
        <v>4.159999999999997</v>
      </c>
      <c r="E59" s="7" t="n">
        <v>4.075000000000003</v>
      </c>
      <c r="F59" s="7" t="n">
        <v>2.670000000000002</v>
      </c>
      <c r="G59" s="7" t="n">
        <v>2.659999999999997</v>
      </c>
      <c r="H59" s="7" t="n">
        <v>2.650000000000006</v>
      </c>
      <c r="I59" s="7" t="n">
        <v>0.4999999999995453</v>
      </c>
      <c r="J59" s="7" t="n">
        <v>8.499999999999375</v>
      </c>
      <c r="K59" s="7" t="n">
        <v>-1.000000000000512</v>
      </c>
      <c r="L59" s="7" t="n">
        <v>0.9999999999990905</v>
      </c>
    </row>
    <row r="60">
      <c r="A60" s="12" t="n">
        <v>46170</v>
      </c>
      <c r="B60" s="8" t="n">
        <v>59</v>
      </c>
      <c r="C60" s="8" t="n">
        <v>4.125</v>
      </c>
      <c r="D60" s="8" t="n">
        <v>4.125</v>
      </c>
      <c r="E60" s="8" t="n">
        <v>4.045000000000002</v>
      </c>
      <c r="F60" s="8" t="n">
        <v>2.640000000000001</v>
      </c>
      <c r="G60" s="8" t="n">
        <v>2.625</v>
      </c>
      <c r="H60" s="8" t="n">
        <v>2.614999999999995</v>
      </c>
      <c r="I60" s="8" t="n">
        <v>0</v>
      </c>
      <c r="J60" s="8" t="n">
        <v>7.999999999999829</v>
      </c>
      <c r="K60" s="8" t="n">
        <v>-1.500000000000101</v>
      </c>
      <c r="L60" s="8" t="n">
        <v>1.000000000000512</v>
      </c>
    </row>
    <row r="61">
      <c r="A61" s="13" t="n">
        <v>46171</v>
      </c>
      <c r="B61" s="7" t="n">
        <v>60</v>
      </c>
      <c r="C61" s="7" t="n">
        <v>4.079999999999998</v>
      </c>
      <c r="D61" s="7" t="n">
        <v>4.084999999999994</v>
      </c>
      <c r="E61" s="7" t="n">
        <v>4.030000000000001</v>
      </c>
      <c r="F61" s="7" t="n">
        <v>2.614999999999995</v>
      </c>
      <c r="G61" s="7" t="n">
        <v>2.599999999999994</v>
      </c>
      <c r="H61" s="7" t="n">
        <v>2.579999999999998</v>
      </c>
      <c r="I61" s="7" t="n">
        <v>0.4999999999995453</v>
      </c>
      <c r="J61" s="7" t="n">
        <v>5.499999999999261</v>
      </c>
      <c r="K61" s="7" t="n">
        <v>-1.500000000000057</v>
      </c>
      <c r="L61" s="7" t="n">
        <v>1.999999999999602</v>
      </c>
    </row>
    <row r="62">
      <c r="A62" s="12" t="n">
        <v>46174</v>
      </c>
      <c r="B62" s="8" t="n">
        <v>61</v>
      </c>
      <c r="C62" s="8" t="n">
        <v>4.234999999999999</v>
      </c>
      <c r="D62" s="8" t="n">
        <v>4.245000000000005</v>
      </c>
      <c r="E62" s="8" t="n">
        <v>4.125</v>
      </c>
      <c r="F62" s="8" t="n">
        <v>2.739999999999995</v>
      </c>
      <c r="G62" s="8" t="n">
        <v>2.730000000000004</v>
      </c>
      <c r="H62" s="8" t="n">
        <v>2.659999999999997</v>
      </c>
      <c r="I62" s="8" t="n">
        <v>1.000000000000512</v>
      </c>
      <c r="J62" s="8" t="n">
        <v>12.00000000000045</v>
      </c>
      <c r="K62" s="8" t="n">
        <v>-0.9999999999990905</v>
      </c>
      <c r="L62" s="8" t="n">
        <v>7.000000000000739</v>
      </c>
    </row>
    <row r="63">
      <c r="A63" s="13" t="n">
        <v>46175</v>
      </c>
      <c r="B63" s="7" t="n">
        <v>62</v>
      </c>
      <c r="C63" s="7" t="n">
        <v>4.215000000000003</v>
      </c>
      <c r="D63" s="7" t="n">
        <v>4.215000000000003</v>
      </c>
      <c r="E63" s="7" t="n">
        <v>4.090000000000003</v>
      </c>
      <c r="F63" s="7" t="n">
        <v>2.719999999999999</v>
      </c>
      <c r="G63" s="7" t="n">
        <v>2.700000000000003</v>
      </c>
      <c r="H63" s="7" t="n">
        <v>2.625</v>
      </c>
      <c r="I63" s="7" t="n">
        <v>0</v>
      </c>
      <c r="J63" s="7" t="n">
        <v>12.5</v>
      </c>
      <c r="K63" s="7" t="n">
        <v>-1.999999999999602</v>
      </c>
      <c r="L63" s="7" t="n">
        <v>7.500000000000284</v>
      </c>
    </row>
    <row r="64">
      <c r="A64" s="12" t="n">
        <v>46176</v>
      </c>
      <c r="B64" s="8" t="n">
        <v>63</v>
      </c>
      <c r="C64" s="8" t="n">
        <v>4.260000000000005</v>
      </c>
      <c r="D64" s="8" t="n">
        <v>4.269999999999996</v>
      </c>
      <c r="E64" s="8" t="n">
        <v>4.135000000000005</v>
      </c>
      <c r="F64" s="8" t="n">
        <v>2.754999999999995</v>
      </c>
      <c r="G64" s="8" t="n">
        <v>2.780000000000001</v>
      </c>
      <c r="H64" s="8" t="n">
        <v>2.694999999999993</v>
      </c>
      <c r="I64" s="8" t="n">
        <v>0.9999999999990905</v>
      </c>
      <c r="J64" s="8" t="n">
        <v>13.49999999999909</v>
      </c>
      <c r="K64" s="8" t="n">
        <v>2.500000000000568</v>
      </c>
      <c r="L64" s="8" t="n">
        <v>8.500000000000796</v>
      </c>
    </row>
    <row r="65">
      <c r="A65" s="13" t="n">
        <v>46177</v>
      </c>
      <c r="B65" s="7" t="n">
        <v>64</v>
      </c>
      <c r="C65" s="7" t="n">
        <v>4.230000000000004</v>
      </c>
      <c r="D65" s="7" t="n">
        <v>4.260000000000005</v>
      </c>
      <c r="E65" s="7" t="n">
        <v>4.140000000000001</v>
      </c>
      <c r="F65" s="7" t="n">
        <v>2.730000000000004</v>
      </c>
      <c r="G65" s="7" t="n">
        <v>2.760000000000005</v>
      </c>
      <c r="H65" s="7" t="n">
        <v>2.685000000000002</v>
      </c>
      <c r="I65" s="7" t="n">
        <v>3.000000000000114</v>
      </c>
      <c r="J65" s="7" t="n">
        <v>12.00000000000045</v>
      </c>
      <c r="K65" s="7" t="n">
        <v>3.000000000000114</v>
      </c>
      <c r="L65" s="7" t="n">
        <v>7.500000000000284</v>
      </c>
    </row>
    <row r="66">
      <c r="A66" s="12" t="n">
        <v>46178</v>
      </c>
      <c r="B66" s="8" t="n">
        <v>65</v>
      </c>
      <c r="C66" s="8" t="n">
        <v>4.224999999999994</v>
      </c>
      <c r="D66" s="8" t="n">
        <v>4.269999999999996</v>
      </c>
      <c r="E66" s="8" t="n">
        <v>4.144999999999996</v>
      </c>
      <c r="F66" s="8" t="n">
        <v>2.760000000000005</v>
      </c>
      <c r="G66" s="8" t="n">
        <v>2.790000000000006</v>
      </c>
      <c r="H66" s="8" t="n">
        <v>2.734999999999999</v>
      </c>
      <c r="I66" s="8" t="n">
        <v>4.500000000000171</v>
      </c>
      <c r="J66" s="8" t="n">
        <v>12.5</v>
      </c>
      <c r="K66" s="8" t="n">
        <v>3.000000000000114</v>
      </c>
      <c r="L66" s="8" t="n">
        <v>5.500000000000682</v>
      </c>
    </row>
    <row r="67">
      <c r="A67" s="13" t="n">
        <v>46181</v>
      </c>
      <c r="B67" s="7" t="n">
        <v>66</v>
      </c>
      <c r="C67" s="7" t="n">
        <v>4.260000000000005</v>
      </c>
      <c r="D67" s="7" t="n">
        <v>4.314999999999998</v>
      </c>
      <c r="E67" s="7" t="n">
        <v>4.189999999999998</v>
      </c>
      <c r="F67" s="7" t="n">
        <v>2.775000000000006</v>
      </c>
      <c r="G67" s="7" t="n">
        <v>2.814999999999998</v>
      </c>
      <c r="H67" s="7" t="n">
        <v>2.754999999999995</v>
      </c>
      <c r="I67" s="7" t="n">
        <v>5.499999999999261</v>
      </c>
      <c r="J67" s="7" t="n">
        <v>12.5</v>
      </c>
      <c r="K67" s="7" t="n">
        <v>3.999999999999204</v>
      </c>
      <c r="L67" s="7" t="n">
        <v>6.000000000000227</v>
      </c>
    </row>
    <row r="68">
      <c r="A68" s="12" t="n">
        <v>46182</v>
      </c>
      <c r="B68" s="8" t="n">
        <v>67</v>
      </c>
      <c r="C68" s="8" t="n">
        <v>4.224999999999994</v>
      </c>
      <c r="D68" s="8" t="n">
        <v>4.269999999999996</v>
      </c>
      <c r="E68" s="8" t="n">
        <v>4.170000000000002</v>
      </c>
      <c r="F68" s="8" t="n">
        <v>2.75</v>
      </c>
      <c r="G68" s="8" t="n">
        <v>2.780000000000001</v>
      </c>
      <c r="H68" s="8" t="n">
        <v>2.734999999999999</v>
      </c>
      <c r="I68" s="8" t="n">
        <v>4.500000000000171</v>
      </c>
      <c r="J68" s="8" t="n">
        <v>9.999999999999432</v>
      </c>
      <c r="K68" s="8" t="n">
        <v>3.000000000000114</v>
      </c>
      <c r="L68" s="8" t="n">
        <v>4.500000000000171</v>
      </c>
    </row>
    <row r="69">
      <c r="A69" s="13" t="n">
        <v>46183</v>
      </c>
      <c r="B69" s="7" t="n">
        <v>68</v>
      </c>
      <c r="C69" s="7" t="n">
        <v>4.254999999999996</v>
      </c>
      <c r="D69" s="7" t="n">
        <v>4.299999999999997</v>
      </c>
      <c r="E69" s="7" t="n">
        <v>4.185000000000002</v>
      </c>
      <c r="F69" s="7" t="n">
        <v>2.780000000000001</v>
      </c>
      <c r="G69" s="7" t="n">
        <v>2.819999999999993</v>
      </c>
      <c r="H69" s="7" t="n">
        <v>2.75</v>
      </c>
      <c r="I69" s="7" t="n">
        <v>4.500000000000082</v>
      </c>
      <c r="J69" s="7" t="n">
        <v>11.49999999999949</v>
      </c>
      <c r="K69" s="7" t="n">
        <v>3.999999999999204</v>
      </c>
      <c r="L69" s="7" t="n">
        <v>6.999999999999318</v>
      </c>
    </row>
    <row r="70">
      <c r="A70" s="12" t="n">
        <v>46184</v>
      </c>
      <c r="B70" s="8" t="n">
        <v>69</v>
      </c>
      <c r="C70" s="8" t="n">
        <v>4.234999999999999</v>
      </c>
      <c r="D70" s="8" t="n">
        <v>4.275000000000006</v>
      </c>
      <c r="E70" s="8" t="n">
        <v>4.159999999999997</v>
      </c>
      <c r="F70" s="8" t="n">
        <v>2.734999999999999</v>
      </c>
      <c r="G70" s="8" t="n">
        <v>2.754999999999995</v>
      </c>
      <c r="H70" s="8" t="n">
        <v>2.700000000000003</v>
      </c>
      <c r="I70" s="8" t="n">
        <v>4.000000000000625</v>
      </c>
      <c r="J70" s="8" t="n">
        <v>11.50000000000091</v>
      </c>
      <c r="K70" s="8" t="n">
        <v>1.999999999999602</v>
      </c>
      <c r="L70" s="8" t="n">
        <v>5.499999999999261</v>
      </c>
    </row>
    <row r="71">
      <c r="A71" s="13" t="n">
        <v>46185</v>
      </c>
      <c r="B71" s="7" t="n">
        <v>70</v>
      </c>
      <c r="C71" s="7" t="n">
        <v>4.129999999999996</v>
      </c>
      <c r="D71" s="7" t="n">
        <v>4.159999999999997</v>
      </c>
      <c r="E71" s="7" t="n">
        <v>4.090000000000003</v>
      </c>
      <c r="F71" s="7" t="n">
        <v>2.685000000000002</v>
      </c>
      <c r="G71" s="7" t="n">
        <v>2.709999999999994</v>
      </c>
      <c r="H71" s="7" t="n">
        <v>2.685000000000002</v>
      </c>
      <c r="I71" s="7" t="n">
        <v>3.000000000000025</v>
      </c>
      <c r="J71" s="7" t="n">
        <v>6.999999999999318</v>
      </c>
      <c r="K71" s="7" t="n">
        <v>2.499999999999147</v>
      </c>
      <c r="L71" s="7" t="n">
        <v>2.499999999999147</v>
      </c>
    </row>
    <row r="72">
      <c r="A72" s="12" t="n">
        <v>46188</v>
      </c>
      <c r="B72" s="8" t="n">
        <v>71</v>
      </c>
      <c r="C72" s="8" t="n">
        <v>4.060000000000002</v>
      </c>
      <c r="D72" s="8" t="n">
        <v>4.069999999999993</v>
      </c>
      <c r="E72" s="8" t="n">
        <v>4.034999999999997</v>
      </c>
      <c r="F72" s="8" t="n">
        <v>2.640000000000001</v>
      </c>
      <c r="G72" s="8" t="n">
        <v>2.640000000000001</v>
      </c>
      <c r="H72" s="8" t="n">
        <v>2.629999999999995</v>
      </c>
      <c r="I72" s="8" t="n">
        <v>0.9999999999990905</v>
      </c>
      <c r="J72" s="8" t="n">
        <v>3.499999999999659</v>
      </c>
      <c r="K72" s="8" t="n">
        <v>0</v>
      </c>
      <c r="L72" s="8" t="n">
        <v>1.000000000000556</v>
      </c>
    </row>
    <row r="73">
      <c r="A73" s="13" t="n">
        <v>46189</v>
      </c>
      <c r="B73" s="7" t="n">
        <v>72</v>
      </c>
      <c r="C73" s="7" t="n">
        <v>4.084999999999994</v>
      </c>
      <c r="D73" s="7" t="n">
        <v>4.099999999999994</v>
      </c>
      <c r="E73" s="7" t="n">
        <v>4.040000000000006</v>
      </c>
      <c r="F73" s="7" t="n">
        <v>2.650000000000006</v>
      </c>
      <c r="G73" s="7" t="n">
        <v>2.650000000000006</v>
      </c>
      <c r="H73" s="7" t="n">
        <v>2.614999999999995</v>
      </c>
      <c r="I73" s="7" t="n">
        <v>1.500000000000057</v>
      </c>
      <c r="J73" s="7" t="n">
        <v>5.999999999998806</v>
      </c>
      <c r="K73" s="7" t="n">
        <v>0</v>
      </c>
      <c r="L73" s="7" t="n">
        <v>3.50000000000108</v>
      </c>
    </row>
    <row r="74">
      <c r="A74" s="12" t="n">
        <v>46190</v>
      </c>
      <c r="B74" s="8" t="n">
        <v>73</v>
      </c>
      <c r="C74" s="8" t="n">
        <v>4.055000000000007</v>
      </c>
      <c r="D74" s="8" t="n">
        <v>4.040000000000006</v>
      </c>
      <c r="E74" s="8" t="n">
        <v>3.974999999999993</v>
      </c>
      <c r="F74" s="8" t="n">
        <v>2.655000000000001</v>
      </c>
      <c r="G74" s="8" t="n">
        <v>2.655000000000001</v>
      </c>
      <c r="H74" s="8" t="n">
        <v>2.620000000000005</v>
      </c>
      <c r="I74" s="8" t="n">
        <v>-1.500000000000057</v>
      </c>
      <c r="J74" s="8" t="n">
        <v>6.500000000001283</v>
      </c>
      <c r="K74" s="8" t="n">
        <v>0</v>
      </c>
      <c r="L74" s="8" t="n">
        <v>3.499999999999659</v>
      </c>
    </row>
    <row r="75">
      <c r="A75" s="13" t="n">
        <v>46191</v>
      </c>
      <c r="B75" s="7" t="n">
        <v>74</v>
      </c>
      <c r="C75" s="7" t="n">
        <v>4.060000000000002</v>
      </c>
      <c r="D75" s="7" t="n">
        <v>4.064999999999998</v>
      </c>
      <c r="E75" s="7" t="n">
        <v>3.980000000000004</v>
      </c>
      <c r="F75" s="7" t="n">
        <v>2.659999999999997</v>
      </c>
      <c r="G75" s="7" t="n">
        <v>2.665000000000006</v>
      </c>
      <c r="H75" s="7" t="n">
        <v>2.625</v>
      </c>
      <c r="I75" s="7" t="n">
        <v>0.4999999999995453</v>
      </c>
      <c r="J75" s="7" t="n">
        <v>8.499999999999375</v>
      </c>
      <c r="K75" s="7" t="n">
        <v>0.5000000000009663</v>
      </c>
      <c r="L75" s="7" t="n">
        <v>4.000000000000625</v>
      </c>
    </row>
    <row r="76">
      <c r="A76" s="12" t="n">
        <v>46192</v>
      </c>
      <c r="B76" s="8" t="n">
        <v>75</v>
      </c>
      <c r="C76" s="8" t="n">
        <v>4.109999999999999</v>
      </c>
      <c r="D76" s="8" t="n">
        <v>4.174999999999997</v>
      </c>
      <c r="E76" s="8" t="n">
        <v>4.094999999999999</v>
      </c>
      <c r="F76" s="8" t="n">
        <v>2.704999999999998</v>
      </c>
      <c r="G76" s="8" t="n">
        <v>2.724999999999994</v>
      </c>
      <c r="H76" s="8" t="n">
        <v>2.680000000000007</v>
      </c>
      <c r="I76" s="8" t="n">
        <v>6.499999999999773</v>
      </c>
      <c r="J76" s="8" t="n">
        <v>7.999999999999829</v>
      </c>
      <c r="K76" s="8" t="n">
        <v>1.999999999999602</v>
      </c>
      <c r="L76" s="8" t="n">
        <v>4.499999999998749</v>
      </c>
    </row>
    <row r="77">
      <c r="A77" s="13" t="n">
        <v>46195</v>
      </c>
      <c r="B77" s="7" t="n">
        <v>76</v>
      </c>
      <c r="C77" s="7" t="n">
        <v>4.060000000000002</v>
      </c>
      <c r="D77" s="7" t="n">
        <v>4.125</v>
      </c>
      <c r="E77" s="7" t="n">
        <v>4.060000000000002</v>
      </c>
      <c r="F77" s="7" t="n">
        <v>2.650000000000006</v>
      </c>
      <c r="G77" s="7" t="n">
        <v>2.659999999999997</v>
      </c>
      <c r="H77" s="7" t="n">
        <v>2.635000000000005</v>
      </c>
      <c r="I77" s="7" t="n">
        <v>6.499999999999773</v>
      </c>
      <c r="J77" s="7" t="n">
        <v>6.499999999999773</v>
      </c>
      <c r="K77" s="7" t="n">
        <v>0.9999999999990905</v>
      </c>
      <c r="L77" s="7" t="n">
        <v>2.499999999999147</v>
      </c>
    </row>
    <row r="78">
      <c r="A78" s="12" t="n">
        <v>46196</v>
      </c>
      <c r="B78" s="8" t="n">
        <v>77</v>
      </c>
      <c r="C78" s="8" t="n">
        <v>4.030000000000001</v>
      </c>
      <c r="D78" s="8" t="n">
        <v>4.064999999999998</v>
      </c>
      <c r="E78" s="8" t="n">
        <v>4.010000000000005</v>
      </c>
      <c r="F78" s="8" t="n">
        <v>2.635000000000005</v>
      </c>
      <c r="G78" s="8" t="n">
        <v>2.635000000000005</v>
      </c>
      <c r="H78" s="8" t="n">
        <v>2.599999999999994</v>
      </c>
      <c r="I78" s="8" t="n">
        <v>3.499999999999659</v>
      </c>
      <c r="J78" s="8" t="n">
        <v>5.499999999999261</v>
      </c>
      <c r="K78" s="8" t="n">
        <v>0</v>
      </c>
      <c r="L78" s="8" t="n">
        <v>3.50000000000108</v>
      </c>
    </row>
    <row r="79">
      <c r="A79" s="13" t="n">
        <v>46197</v>
      </c>
      <c r="B79" s="7" t="n">
        <v>78</v>
      </c>
      <c r="C79" s="7" t="n">
        <v>4.010000000000005</v>
      </c>
      <c r="D79" s="7" t="n">
        <v>4.010000000000005</v>
      </c>
      <c r="E79" s="7" t="n">
        <v>3.939999999999998</v>
      </c>
      <c r="F79" s="7" t="n">
        <v>2.605000000000004</v>
      </c>
      <c r="G79" s="7" t="n">
        <v>2.609999999999999</v>
      </c>
      <c r="H79" s="7" t="n">
        <v>2.560000000000002</v>
      </c>
      <c r="I79" s="7" t="n">
        <v>0</v>
      </c>
      <c r="J79" s="7" t="n">
        <v>7.000000000000739</v>
      </c>
      <c r="K79" s="7" t="n">
        <v>0.4999999999995453</v>
      </c>
      <c r="L79" s="7" t="n">
        <v>4.999999999999716</v>
      </c>
    </row>
    <row r="80">
      <c r="A80" s="12" t="n">
        <v>46198</v>
      </c>
      <c r="B80" s="8" t="n">
        <v>79</v>
      </c>
      <c r="C80" s="8" t="n">
        <v>3.980000000000004</v>
      </c>
      <c r="D80" s="8" t="n">
        <v>3.969999999999999</v>
      </c>
      <c r="E80" s="8" t="n">
        <v>3.939999999999998</v>
      </c>
      <c r="F80" s="8" t="n">
        <v>2.594999999999999</v>
      </c>
      <c r="G80" s="8" t="n">
        <v>2.590000000000003</v>
      </c>
      <c r="H80" s="8" t="n">
        <v>2.560000000000002</v>
      </c>
      <c r="I80" s="8" t="n">
        <v>-1.000000000000512</v>
      </c>
      <c r="J80" s="8" t="n">
        <v>3.000000000000114</v>
      </c>
      <c r="K80" s="8" t="n">
        <v>-0.4999999999995453</v>
      </c>
      <c r="L80" s="8" t="n">
        <v>3.000000000000114</v>
      </c>
    </row>
    <row r="81">
      <c r="A81" s="13" t="n">
        <v>46199</v>
      </c>
      <c r="B81" s="7" t="n">
        <v>80</v>
      </c>
      <c r="C81" s="7" t="n">
        <v>3.974999999999993</v>
      </c>
      <c r="D81" s="7" t="n">
        <v>3.974999999999993</v>
      </c>
      <c r="E81" s="7" t="n">
        <v>3.965000000000003</v>
      </c>
      <c r="F81" s="7" t="n">
        <v>2.564999999999998</v>
      </c>
      <c r="G81" s="7" t="n">
        <v>2.555000000000007</v>
      </c>
      <c r="H81" s="7" t="n">
        <v>2.540000000000006</v>
      </c>
      <c r="I81" s="7" t="n">
        <v>0</v>
      </c>
      <c r="J81" s="7" t="n">
        <v>0.9999999999990017</v>
      </c>
      <c r="K81" s="7" t="n">
        <v>-0.9999999999990905</v>
      </c>
      <c r="L81" s="7" t="n">
        <v>1.500000000000057</v>
      </c>
    </row>
    <row r="82">
      <c r="A82" s="12" t="n">
        <v>46202</v>
      </c>
      <c r="B82" s="8" t="n">
        <v>81</v>
      </c>
      <c r="C82" s="8" t="n">
        <v>3.985</v>
      </c>
      <c r="D82" s="8" t="n">
        <v>3.989999999999995</v>
      </c>
      <c r="E82" s="8" t="n">
        <v>3.954999999999998</v>
      </c>
      <c r="F82" s="8" t="n">
        <v>2.590000000000003</v>
      </c>
      <c r="G82" s="8" t="n">
        <v>2.584999999999994</v>
      </c>
      <c r="H82" s="8" t="n">
        <v>2.549999999999997</v>
      </c>
      <c r="I82" s="8" t="n">
        <v>0.4999999999995008</v>
      </c>
      <c r="J82" s="8" t="n">
        <v>3.499999999999659</v>
      </c>
      <c r="K82" s="8" t="n">
        <v>-0.5000000000009663</v>
      </c>
      <c r="L82" s="8" t="n">
        <v>3.499999999999659</v>
      </c>
    </row>
    <row r="83">
      <c r="A83" s="13" t="n">
        <v>46203</v>
      </c>
      <c r="B83" s="7" t="n">
        <v>82</v>
      </c>
      <c r="C83" s="7" t="n">
        <v>3.985</v>
      </c>
      <c r="D83" s="7" t="n">
        <v>4.019999999999996</v>
      </c>
      <c r="E83" s="7" t="n">
        <v>3.985</v>
      </c>
      <c r="F83" s="7" t="n">
        <v>2.579999999999998</v>
      </c>
      <c r="G83" s="7" t="n">
        <v>2.579999999999998</v>
      </c>
      <c r="H83" s="7" t="n">
        <v>2.555000000000007</v>
      </c>
      <c r="I83" s="7" t="n">
        <v>3.499999999999615</v>
      </c>
      <c r="J83" s="7" t="n">
        <v>3.499999999999615</v>
      </c>
      <c r="K83" s="7" t="n">
        <v>0</v>
      </c>
      <c r="L83" s="7" t="n">
        <v>2.499999999999147</v>
      </c>
    </row>
    <row r="84">
      <c r="A84" s="12" t="n">
        <v>46204</v>
      </c>
      <c r="B84" s="8" t="n">
        <v>83</v>
      </c>
      <c r="C84" s="8" t="n">
        <v>3.959999999999994</v>
      </c>
      <c r="D84" s="8" t="n">
        <v>4.004999999999996</v>
      </c>
      <c r="E84" s="8" t="n">
        <v>4</v>
      </c>
      <c r="F84" s="8" t="n">
        <v>2.545000000000002</v>
      </c>
      <c r="G84" s="8" t="n">
        <v>2.560000000000002</v>
      </c>
      <c r="H84" s="8" t="n">
        <v>2.569999999999993</v>
      </c>
      <c r="I84" s="8" t="n">
        <v>4.500000000000259</v>
      </c>
      <c r="J84" s="8" t="n">
        <v>0.4999999999996341</v>
      </c>
      <c r="K84" s="8" t="n">
        <v>1.500000000000057</v>
      </c>
      <c r="L84" s="8" t="n">
        <v>-0.9999999999990905</v>
      </c>
    </row>
    <row r="85">
      <c r="A85" s="13" t="n">
        <v>46205</v>
      </c>
      <c r="B85" s="7" t="n">
        <v>84</v>
      </c>
      <c r="C85" s="7" t="n">
        <v>3.935000000000001</v>
      </c>
      <c r="D85" s="7" t="n">
        <v>3.969999999999999</v>
      </c>
      <c r="E85" s="7" t="n">
        <v>3.989999999999995</v>
      </c>
      <c r="F85" s="7" t="n">
        <v>2.510000000000005</v>
      </c>
      <c r="G85" s="7" t="n">
        <v>2.545000000000002</v>
      </c>
      <c r="H85" s="7" t="n">
        <v>2.584999999999994</v>
      </c>
      <c r="I85" s="7" t="n">
        <v>3.499999999999748</v>
      </c>
      <c r="J85" s="7" t="n">
        <v>-1.999999999999602</v>
      </c>
      <c r="K85" s="7" t="n">
        <v>3.499999999999659</v>
      </c>
      <c r="L85" s="7" t="n">
        <v>-3.999999999999204</v>
      </c>
    </row>
    <row r="86">
      <c r="A86" s="12" t="n">
        <v>46206</v>
      </c>
      <c r="B86" s="8" t="n">
        <v>85</v>
      </c>
      <c r="C86" s="8" t="n">
        <v>3.935000000000001</v>
      </c>
      <c r="D86" s="8" t="n">
        <v>3.980000000000004</v>
      </c>
      <c r="E86" s="8" t="n">
        <v>4.010000000000005</v>
      </c>
      <c r="F86" s="8" t="n">
        <v>2.540000000000006</v>
      </c>
      <c r="G86" s="8" t="n">
        <v>2.599999999999994</v>
      </c>
      <c r="H86" s="8" t="n">
        <v>2.640000000000001</v>
      </c>
      <c r="I86" s="8" t="n">
        <v>4.500000000000259</v>
      </c>
      <c r="J86" s="8" t="n">
        <v>-3.000000000000114</v>
      </c>
      <c r="K86" s="8" t="n">
        <v>5.999999999998806</v>
      </c>
      <c r="L86" s="8" t="n">
        <v>-4.00000000000067</v>
      </c>
    </row>
    <row r="87">
      <c r="A87" s="13" t="n">
        <v>46209</v>
      </c>
      <c r="B87" s="7" t="n">
        <v>86</v>
      </c>
      <c r="C87" s="7" t="n">
        <v>3.935000000000001</v>
      </c>
      <c r="D87" s="7" t="n">
        <v>3.974999999999993</v>
      </c>
      <c r="E87" s="7" t="n">
        <v>4.004999999999996</v>
      </c>
      <c r="F87" s="7" t="n">
        <v>2.545000000000002</v>
      </c>
      <c r="G87" s="7" t="n">
        <v>2.594999999999999</v>
      </c>
      <c r="H87" s="7" t="n">
        <v>2.629999999999995</v>
      </c>
      <c r="I87" s="7" t="n">
        <v>3.999999999999204</v>
      </c>
      <c r="J87" s="7" t="n">
        <v>-3.000000000000291</v>
      </c>
      <c r="K87" s="7" t="n">
        <v>4.999999999999716</v>
      </c>
      <c r="L87" s="7" t="n">
        <v>-3.499999999999659</v>
      </c>
    </row>
    <row r="88">
      <c r="A88" s="12" t="n">
        <v>46210</v>
      </c>
      <c r="B88" s="8" t="n">
        <v>87</v>
      </c>
      <c r="C88" s="8" t="n">
        <v>3.969999999999999</v>
      </c>
      <c r="D88" s="8" t="n">
        <v>4.025000000000006</v>
      </c>
      <c r="E88" s="8" t="n">
        <v>4.055000000000007</v>
      </c>
      <c r="F88" s="8" t="n">
        <v>2.590000000000003</v>
      </c>
      <c r="G88" s="8" t="n">
        <v>2.655000000000001</v>
      </c>
      <c r="H88" s="8" t="n">
        <v>2.680000000000007</v>
      </c>
      <c r="I88" s="8" t="n">
        <v>5.500000000000682</v>
      </c>
      <c r="J88" s="8" t="n">
        <v>-3.000000000000114</v>
      </c>
      <c r="K88" s="8" t="n">
        <v>6.499999999999773</v>
      </c>
      <c r="L88" s="8" t="n">
        <v>-2.500000000000568</v>
      </c>
    </row>
    <row r="89">
      <c r="A89" s="13" t="n">
        <v>46211</v>
      </c>
      <c r="B89" s="7" t="n">
        <v>88</v>
      </c>
      <c r="C89" s="7" t="n">
        <v>4.135000000000005</v>
      </c>
      <c r="D89" s="7" t="n">
        <v>4.219999999999999</v>
      </c>
      <c r="E89" s="7" t="n">
        <v>4.215000000000003</v>
      </c>
      <c r="F89" s="7" t="n">
        <v>2.715000000000003</v>
      </c>
      <c r="G89" s="7" t="n">
        <v>2.795000000000002</v>
      </c>
      <c r="H89" s="7" t="n">
        <v>2.795000000000002</v>
      </c>
      <c r="I89" s="7" t="n">
        <v>8.499999999999375</v>
      </c>
      <c r="J89" s="7" t="n">
        <v>0.4999999999995453</v>
      </c>
      <c r="K89" s="7" t="n">
        <v>7.999999999999829</v>
      </c>
      <c r="L89" s="7" t="n">
        <v>0</v>
      </c>
    </row>
    <row r="90">
      <c r="A90" s="12" t="n">
        <v>46212</v>
      </c>
      <c r="B90" s="8" t="n">
        <v>89</v>
      </c>
      <c r="C90" s="8" t="n">
        <v>4.064999999999998</v>
      </c>
      <c r="D90" s="8" t="n">
        <v>4.140000000000001</v>
      </c>
      <c r="E90" s="8" t="n">
        <v>4.155000000000001</v>
      </c>
      <c r="F90" s="8" t="n">
        <v>2.674999999999997</v>
      </c>
      <c r="G90" s="8" t="n">
        <v>2.739999999999995</v>
      </c>
      <c r="H90" s="8" t="n">
        <v>2.75</v>
      </c>
      <c r="I90" s="8" t="n">
        <v>7.500000000000284</v>
      </c>
      <c r="J90" s="8" t="n">
        <v>-1.500000000000057</v>
      </c>
      <c r="K90" s="8" t="n">
        <v>6.499999999999773</v>
      </c>
      <c r="L90" s="8" t="n">
        <v>-1.000000000000512</v>
      </c>
    </row>
    <row r="91">
      <c r="A91" s="13" t="n">
        <v>46213</v>
      </c>
      <c r="B91" s="7" t="n">
        <v>90</v>
      </c>
      <c r="C91" s="7" t="n">
        <v>4.055000000000007</v>
      </c>
      <c r="D91" s="7" t="n">
        <v>4.129999999999996</v>
      </c>
      <c r="E91" s="7" t="n">
        <v>4.135000000000005</v>
      </c>
      <c r="F91" s="7" t="n">
        <v>2.670000000000002</v>
      </c>
      <c r="G91" s="7" t="n">
        <v>2.734999999999999</v>
      </c>
      <c r="H91" s="7" t="n">
        <v>2.75</v>
      </c>
      <c r="I91" s="7" t="n">
        <v>7.499999999998952</v>
      </c>
      <c r="J91" s="7" t="n">
        <v>-0.5000000000008775</v>
      </c>
      <c r="K91" s="7" t="n">
        <v>6.499999999999773</v>
      </c>
      <c r="L91" s="7" t="n">
        <v>-1.500000000000057</v>
      </c>
    </row>
    <row r="92">
      <c r="A92" s="12" t="n">
        <v>46216</v>
      </c>
      <c r="B92" s="8" t="n">
        <v>91</v>
      </c>
      <c r="C92" s="8" t="n">
        <v>4.165000000000006</v>
      </c>
      <c r="D92" s="8" t="n">
        <v>4.260000000000005</v>
      </c>
      <c r="E92" s="8" t="n">
        <v>4.224999999999994</v>
      </c>
      <c r="F92" s="8" t="n">
        <v>2.739999999999995</v>
      </c>
      <c r="G92" s="8" t="n">
        <v>2.810000000000002</v>
      </c>
      <c r="H92" s="8" t="n">
        <v>2.790000000000006</v>
      </c>
      <c r="I92" s="8" t="n">
        <v>9.499999999999886</v>
      </c>
      <c r="J92" s="8" t="n">
        <v>3.50000000000108</v>
      </c>
      <c r="K92" s="8" t="n">
        <v>7.000000000000739</v>
      </c>
      <c r="L92" s="8" t="n">
        <v>1.999999999999602</v>
      </c>
    </row>
    <row r="93">
      <c r="A93" s="13" t="n">
        <v>46217</v>
      </c>
      <c r="B93" s="7" t="n">
        <v>92</v>
      </c>
      <c r="C93" s="7" t="n">
        <v>4.140000000000001</v>
      </c>
      <c r="D93" s="7" t="n">
        <v>4.234999999999999</v>
      </c>
      <c r="E93" s="7" t="n">
        <v>4.215000000000003</v>
      </c>
      <c r="F93" s="7" t="n">
        <v>2.745000000000005</v>
      </c>
      <c r="G93" s="7" t="n">
        <v>2.829999999999998</v>
      </c>
      <c r="H93" s="7" t="n">
        <v>2.799999999999997</v>
      </c>
      <c r="I93" s="7" t="n">
        <v>9.499999999999886</v>
      </c>
      <c r="J93" s="7" t="n">
        <v>1.999999999999602</v>
      </c>
      <c r="K93" s="7" t="n">
        <v>8.499999999999375</v>
      </c>
      <c r="L93" s="7" t="n">
        <v>3.000000000000114</v>
      </c>
    </row>
    <row r="94">
      <c r="A94" s="12" t="n">
        <v>46218</v>
      </c>
      <c r="B94" s="8" t="n">
        <v>93</v>
      </c>
      <c r="C94" s="8" t="n">
        <v>4.140000000000001</v>
      </c>
      <c r="D94" s="8" t="n">
        <v>4.25</v>
      </c>
      <c r="E94" s="8" t="n">
        <v>4.224999999999994</v>
      </c>
      <c r="F94" s="8" t="n">
        <v>2.739999999999995</v>
      </c>
      <c r="G94" s="8" t="n">
        <v>2.834999999999994</v>
      </c>
      <c r="H94" s="8" t="n">
        <v>2.805000000000007</v>
      </c>
      <c r="I94" s="8" t="n">
        <v>10.99999999999994</v>
      </c>
      <c r="J94" s="8" t="n">
        <v>2.500000000000568</v>
      </c>
      <c r="K94" s="8" t="n">
        <v>9.499999999999886</v>
      </c>
      <c r="L94" s="8" t="n">
        <v>2.999999999998693</v>
      </c>
    </row>
    <row r="95">
      <c r="A95" s="13" t="n">
        <v>46219</v>
      </c>
      <c r="B95" s="7" t="n">
        <v>94</v>
      </c>
      <c r="C95" s="7" t="n">
        <v>4.165000000000006</v>
      </c>
      <c r="D95" s="7" t="n">
        <v>4.295000000000002</v>
      </c>
      <c r="E95" s="7" t="n">
        <v>4.254999999999996</v>
      </c>
      <c r="F95" s="7" t="n">
        <v>2.769999999999996</v>
      </c>
      <c r="G95" s="7" t="n">
        <v>2.879999999999995</v>
      </c>
      <c r="H95" s="7" t="n">
        <v>2.834999999999994</v>
      </c>
      <c r="I95" s="7" t="n">
        <v>12.99999999999955</v>
      </c>
      <c r="J95" s="7" t="n">
        <v>4.000000000000536</v>
      </c>
      <c r="K95" s="7" t="n">
        <v>10.99999999999994</v>
      </c>
      <c r="L95" s="7" t="n">
        <v>4.500000000000171</v>
      </c>
    </row>
    <row r="96">
      <c r="A96" s="12" t="n">
        <v>46220</v>
      </c>
      <c r="B96" s="8" t="n">
        <v>95</v>
      </c>
      <c r="C96" s="8" t="n">
        <v>4.165000000000006</v>
      </c>
      <c r="D96" s="8" t="n">
        <v>4.299999999999997</v>
      </c>
      <c r="E96" s="8" t="n">
        <v>4.230000000000004</v>
      </c>
      <c r="F96" s="8" t="n">
        <v>2.784999999999997</v>
      </c>
      <c r="G96" s="8" t="n">
        <v>2.900000000000006</v>
      </c>
      <c r="H96" s="8" t="n">
        <v>2.834999999999994</v>
      </c>
      <c r="I96" s="8" t="n">
        <v>13.49999999999909</v>
      </c>
      <c r="J96" s="8" t="n">
        <v>6.999999999999318</v>
      </c>
      <c r="K96" s="8" t="n">
        <v>11.50000000000091</v>
      </c>
      <c r="L96" s="8" t="n">
        <v>6.500000000001194</v>
      </c>
    </row>
    <row r="97">
      <c r="A97" s="13" t="n">
        <v>46223</v>
      </c>
      <c r="B97" s="7" t="n">
        <v>96</v>
      </c>
      <c r="C97" s="7" t="n">
        <v>4.200000000000003</v>
      </c>
      <c r="D97" s="7" t="n">
        <v>4.349999999999994</v>
      </c>
      <c r="E97" s="7" t="n">
        <v>4.295000000000002</v>
      </c>
      <c r="F97" s="7" t="n">
        <v>2.790000000000006</v>
      </c>
      <c r="G97" s="7" t="n">
        <v>2.905000000000001</v>
      </c>
      <c r="H97" s="7" t="n">
        <v>2.859999999999999</v>
      </c>
      <c r="I97" s="7" t="n">
        <v>14.99999999999915</v>
      </c>
      <c r="J97" s="7" t="n">
        <v>5.499999999999261</v>
      </c>
      <c r="K97" s="7" t="n">
        <v>11.49999999999949</v>
      </c>
      <c r="L97" s="7" t="n">
        <v>4.500000000000171</v>
      </c>
    </row>
    <row r="98">
      <c r="A98" s="12" t="n">
        <v>46224</v>
      </c>
      <c r="B98" s="8" t="n">
        <v>97</v>
      </c>
      <c r="C98" s="8" t="n">
        <v>4.204999999999998</v>
      </c>
      <c r="D98" s="8" t="n">
        <v>4.385000000000005</v>
      </c>
      <c r="E98" s="8" t="n">
        <v>4.310000000000002</v>
      </c>
      <c r="F98" s="8" t="n">
        <v>2.790000000000006</v>
      </c>
      <c r="G98" s="8" t="n">
        <v>2.939999999999998</v>
      </c>
      <c r="H98" s="8" t="n">
        <v>2.894999999999996</v>
      </c>
      <c r="I98" s="8" t="n">
        <v>18.00000000000068</v>
      </c>
      <c r="J98" s="8" t="n">
        <v>7.500000000000284</v>
      </c>
      <c r="K98" s="8" t="n">
        <v>14.99999999999915</v>
      </c>
      <c r="L98" s="8" t="n">
        <v>4.500000000000171</v>
      </c>
    </row>
    <row r="99">
      <c r="A99" s="13" t="n">
        <v>46225</v>
      </c>
      <c r="B99" s="7" t="n">
        <v>98</v>
      </c>
      <c r="C99" s="7" t="n">
        <v>4.239999999999995</v>
      </c>
      <c r="D99" s="7" t="n">
        <v>4.450000000000003</v>
      </c>
      <c r="E99" s="7" t="n">
        <v>4.344999999999999</v>
      </c>
      <c r="F99" s="7" t="n">
        <v>2.825000000000003</v>
      </c>
      <c r="G99" s="7" t="n">
        <v>2.995000000000005</v>
      </c>
      <c r="H99" s="7" t="n">
        <v>2.909999999999997</v>
      </c>
      <c r="I99" s="7" t="n">
        <v>21.0000000000008</v>
      </c>
      <c r="J99" s="7" t="n">
        <v>10.5000000000004</v>
      </c>
      <c r="K99" s="7" t="n">
        <v>17.00000000000017</v>
      </c>
      <c r="L99" s="7" t="n">
        <v>8.500000000000796</v>
      </c>
    </row>
    <row r="100">
      <c r="A100" s="12" t="n">
        <v>46226</v>
      </c>
      <c r="B100" s="8" t="n">
        <v>99</v>
      </c>
      <c r="C100" s="8" t="n">
        <v>4.290000000000006</v>
      </c>
      <c r="D100" s="8" t="n">
        <v>4.519999999999996</v>
      </c>
      <c r="E100" s="8" t="n">
        <v>4.405000000000001</v>
      </c>
      <c r="F100" s="8" t="n">
        <v>2.844999999999999</v>
      </c>
      <c r="G100" s="8" t="n">
        <v>3.069999999999993</v>
      </c>
      <c r="H100" s="8" t="n">
        <v>2.959999999999994</v>
      </c>
      <c r="I100" s="8" t="n">
        <v>22.99999999999898</v>
      </c>
      <c r="J100" s="8" t="n">
        <v>11.49999999999949</v>
      </c>
      <c r="K100" s="8" t="n">
        <v>22.49999999999943</v>
      </c>
      <c r="L100" s="8" t="n">
        <v>10.99999999999994</v>
      </c>
    </row>
    <row r="101">
      <c r="A101" s="13" t="n">
        <v>46227</v>
      </c>
      <c r="B101" s="7" t="n">
        <v>100</v>
      </c>
      <c r="C101" s="7" t="n">
        <v>4.224999999999994</v>
      </c>
      <c r="D101" s="7" t="n">
        <v>4.439999999999998</v>
      </c>
      <c r="E101" s="7" t="n">
        <v>4.334999999999994</v>
      </c>
      <c r="F101" s="7" t="n">
        <v>2.810000000000002</v>
      </c>
      <c r="G101" s="7" t="n">
        <v>2.995000000000005</v>
      </c>
      <c r="H101" s="7" t="n">
        <v>2.915000000000006</v>
      </c>
      <c r="I101" s="7" t="n">
        <v>21.50000000000034</v>
      </c>
      <c r="J101" s="7" t="n">
        <v>10.5000000000004</v>
      </c>
      <c r="K101" s="7" t="n">
        <v>18.50000000000023</v>
      </c>
      <c r="L101" s="7" t="n">
        <v>7.999999999999829</v>
      </c>
    </row>
    <row r="102">
      <c r="A102" s="12" t="n">
        <v>46230</v>
      </c>
      <c r="B102" s="8" t="n">
        <v>101</v>
      </c>
      <c r="C102" s="8" t="n">
        <v>4.180000000000007</v>
      </c>
      <c r="D102" s="8" t="n">
        <v>4.355000000000004</v>
      </c>
      <c r="E102" s="8" t="n">
        <v>4.265000000000001</v>
      </c>
      <c r="F102" s="8" t="n">
        <v>2.775000000000006</v>
      </c>
      <c r="G102" s="8" t="n">
        <v>2.915000000000006</v>
      </c>
      <c r="H102" s="8" t="n">
        <v>2.855000000000004</v>
      </c>
      <c r="I102" s="8" t="n">
        <v>17.49999999999972</v>
      </c>
      <c r="J102" s="8" t="n">
        <v>9.000000000000341</v>
      </c>
      <c r="K102" s="8" t="n">
        <v>14.00000000000006</v>
      </c>
      <c r="L102" s="8" t="n">
        <v>6.000000000000227</v>
      </c>
    </row>
    <row r="103">
      <c r="A103" s="13" t="n">
        <v>46231</v>
      </c>
      <c r="B103" s="7" t="n">
        <v>102</v>
      </c>
      <c r="C103" s="7" t="n">
        <v>4.140000000000001</v>
      </c>
      <c r="D103" s="7" t="n">
        <v>4.299999999999997</v>
      </c>
      <c r="E103" s="7" t="n">
        <v>4.234999999999999</v>
      </c>
      <c r="F103" s="7" t="n">
        <v>2.754999999999995</v>
      </c>
      <c r="G103" s="7" t="n">
        <v>2.879999999999995</v>
      </c>
      <c r="H103" s="7" t="n">
        <v>2.834999999999994</v>
      </c>
      <c r="I103" s="7" t="n">
        <v>15.99999999999966</v>
      </c>
      <c r="J103" s="7" t="n">
        <v>6.499999999999773</v>
      </c>
      <c r="K103" s="7" t="n">
        <v>12.5</v>
      </c>
      <c r="L103" s="7" t="n">
        <v>4.500000000000171</v>
      </c>
    </row>
    <row r="104">
      <c r="A104" s="12" t="n">
        <v>46232</v>
      </c>
      <c r="B104" s="8" t="n">
        <v>103</v>
      </c>
      <c r="C104" s="8" t="n">
        <v>4.200000000000003</v>
      </c>
      <c r="D104" s="8" t="n">
        <v>4.420000000000002</v>
      </c>
      <c r="E104" s="8" t="n">
        <v>4.319999999999993</v>
      </c>
      <c r="F104" s="8" t="n">
        <v>2.799999999999997</v>
      </c>
      <c r="G104" s="8" t="n">
        <v>2.944999999999993</v>
      </c>
      <c r="H104" s="8" t="n">
        <v>2.890000000000001</v>
      </c>
      <c r="I104" s="8" t="n">
        <v>21.99999999999989</v>
      </c>
      <c r="J104" s="8" t="n">
        <v>10.00000000000085</v>
      </c>
      <c r="K104" s="8" t="n">
        <v>14.4999999999996</v>
      </c>
      <c r="L104" s="8" t="n">
        <v>5.499999999999217</v>
      </c>
    </row>
    <row r="105">
      <c r="A105" s="13" t="n">
        <v>46233</v>
      </c>
      <c r="B105" s="7" t="n">
        <v>104</v>
      </c>
      <c r="C105" s="7" t="n">
        <v>4.114999999999995</v>
      </c>
      <c r="D105" s="7" t="n">
        <v>4.325000000000003</v>
      </c>
      <c r="E105" s="7" t="n">
        <v>4.284999999999997</v>
      </c>
      <c r="F105" s="7" t="n">
        <v>2.765000000000001</v>
      </c>
      <c r="G105" s="7" t="n">
        <v>2.920000000000002</v>
      </c>
      <c r="H105" s="7" t="n">
        <v>2.890000000000001</v>
      </c>
      <c r="I105" s="7" t="n">
        <v>21.0000000000008</v>
      </c>
      <c r="J105" s="7" t="n">
        <v>4.000000000000625</v>
      </c>
      <c r="K105" s="7" t="n">
        <v>15.50000000000007</v>
      </c>
      <c r="L105" s="7" t="n">
        <v>3.000000000000069</v>
      </c>
    </row>
    <row r="106">
      <c r="A106" s="12" t="n">
        <v>46234</v>
      </c>
      <c r="B106" s="8" t="n">
        <v>105</v>
      </c>
      <c r="C106" s="8" t="n">
        <v>4.129999999999996</v>
      </c>
      <c r="D106" s="8" t="n">
        <v>4.385000000000005</v>
      </c>
      <c r="E106" s="8" t="n">
        <v>4.329999999999998</v>
      </c>
      <c r="F106" s="8" t="n">
        <v>2.784999999999997</v>
      </c>
      <c r="G106" s="8" t="n">
        <v>2.954999999999998</v>
      </c>
      <c r="H106" s="8" t="n">
        <v>2.915000000000006</v>
      </c>
      <c r="I106" s="8" t="n">
        <v>25.50000000000088</v>
      </c>
      <c r="J106" s="8" t="n">
        <v>5.500000000000682</v>
      </c>
      <c r="K106" s="8" t="n">
        <v>17.00000000000017</v>
      </c>
      <c r="L106" s="8" t="n">
        <v>3.999999999999204</v>
      </c>
    </row>
    <row r="107">
      <c r="A107" s="13" t="n">
        <v>46237</v>
      </c>
      <c r="B107" s="7" t="n">
        <v>106</v>
      </c>
      <c r="C107" s="7" t="n">
        <v>4.069999999999993</v>
      </c>
      <c r="D107" s="7" t="n">
        <v>4.280000000000001</v>
      </c>
      <c r="E107" s="7" t="n">
        <v>4.234999999999999</v>
      </c>
      <c r="F107" s="7" t="n">
        <v>2.754999999999995</v>
      </c>
      <c r="G107" s="7" t="n">
        <v>2.894999999999996</v>
      </c>
      <c r="H107" s="7" t="n">
        <v>2.864999999999995</v>
      </c>
      <c r="I107" s="7" t="n">
        <v>21.0000000000008</v>
      </c>
      <c r="J107" s="7" t="n">
        <v>4.500000000000171</v>
      </c>
      <c r="K107" s="7" t="n">
        <v>14.00000000000006</v>
      </c>
      <c r="L107" s="7" t="n">
        <v>3.000000000000114</v>
      </c>
    </row>
    <row r="108">
      <c r="A108" s="12" t="n">
        <v>46238</v>
      </c>
      <c r="B108" s="8" t="n">
        <v>107</v>
      </c>
      <c r="C108" s="8" t="n">
        <v>4.034999999999997</v>
      </c>
      <c r="D108" s="8" t="n">
        <v>4.204999999999998</v>
      </c>
      <c r="E108" s="8" t="n">
        <v>4.185000000000002</v>
      </c>
      <c r="F108" s="8" t="n">
        <v>2.724999999999994</v>
      </c>
      <c r="G108" s="8" t="n">
        <v>2.840000000000003</v>
      </c>
      <c r="H108" s="8" t="n">
        <v>2.819999999999993</v>
      </c>
      <c r="I108" s="8" t="n">
        <v>17.00000000000017</v>
      </c>
      <c r="J108" s="8" t="n">
        <v>1.999999999999602</v>
      </c>
      <c r="K108" s="8" t="n">
        <v>11.50000000000091</v>
      </c>
      <c r="L108" s="8" t="n">
        <v>2.000000000001023</v>
      </c>
    </row>
    <row r="109">
      <c r="A109" s="13" t="n">
        <v>46239</v>
      </c>
      <c r="B109" s="7" t="n">
        <v>108</v>
      </c>
      <c r="C109" s="7" t="n">
        <v>4.004999999999996</v>
      </c>
      <c r="D109" s="7" t="n">
        <v>4.170000000000002</v>
      </c>
      <c r="E109" s="7" t="n">
        <v>4.155000000000001</v>
      </c>
      <c r="F109" s="7" t="n">
        <v>2.709999999999994</v>
      </c>
      <c r="G109" s="7" t="n">
        <v>2.834999999999994</v>
      </c>
      <c r="H109" s="7" t="n">
        <v>2.814999999999998</v>
      </c>
      <c r="I109" s="7" t="n">
        <v>16.50000000000054</v>
      </c>
      <c r="J109" s="7" t="n">
        <v>1.500000000000057</v>
      </c>
      <c r="K109" s="7" t="n">
        <v>12.5</v>
      </c>
      <c r="L109" s="7" t="n">
        <v>1.999999999999602</v>
      </c>
    </row>
    <row r="110">
      <c r="A110" s="12" t="n">
        <v>46240</v>
      </c>
      <c r="B110" s="8" t="n">
        <v>109</v>
      </c>
      <c r="C110" s="8" t="n">
        <v>4.030000000000001</v>
      </c>
      <c r="D110" s="8" t="n">
        <v>4.224999999999994</v>
      </c>
      <c r="E110" s="8" t="n">
        <v>4.204999999999998</v>
      </c>
      <c r="F110" s="8" t="n">
        <v>2.715000000000003</v>
      </c>
      <c r="G110" s="8" t="n">
        <v>2.859999999999999</v>
      </c>
      <c r="H110" s="8" t="n">
        <v>2.840000000000003</v>
      </c>
      <c r="I110" s="8" t="n">
        <v>19.49999999999932</v>
      </c>
      <c r="J110" s="8" t="n">
        <v>1.999999999999602</v>
      </c>
      <c r="K110" s="8" t="n">
        <v>14.4999999999996</v>
      </c>
      <c r="L110" s="8" t="n">
        <v>1.999999999999602</v>
      </c>
    </row>
    <row r="111">
      <c r="A111" s="13" t="n">
        <v>46241</v>
      </c>
      <c r="B111" s="7" t="n">
        <v>110</v>
      </c>
      <c r="C111" s="7" t="n">
        <v>4.034999999999997</v>
      </c>
      <c r="D111" s="7" t="n">
        <v>4.230000000000004</v>
      </c>
      <c r="E111" s="7" t="n">
        <v>4.209999999999994</v>
      </c>
      <c r="F111" s="7" t="n">
        <v>2.715000000000003</v>
      </c>
      <c r="G111" s="7" t="n">
        <v>2.864999999999995</v>
      </c>
      <c r="H111" s="7" t="n">
        <v>2.844999999999999</v>
      </c>
      <c r="I111" s="7" t="n">
        <v>19.50000000000074</v>
      </c>
      <c r="J111" s="7" t="n">
        <v>2.000000000001023</v>
      </c>
      <c r="K111" s="7" t="n">
        <v>14.99999999999915</v>
      </c>
      <c r="L111" s="7" t="n">
        <v>1.999999999999602</v>
      </c>
    </row>
    <row r="112">
      <c r="A112" s="12" t="n">
        <v>46244</v>
      </c>
      <c r="B112" s="8" t="n">
        <v>111</v>
      </c>
      <c r="C112" s="8" t="n">
        <v>4.064999999999998</v>
      </c>
      <c r="D112" s="8" t="n">
        <v>4.310000000000002</v>
      </c>
      <c r="E112" s="8" t="n">
        <v>4.280000000000001</v>
      </c>
      <c r="F112" s="8" t="n">
        <v>2.745000000000005</v>
      </c>
      <c r="G112" s="8" t="n">
        <v>2.930000000000007</v>
      </c>
      <c r="H112" s="8" t="n">
        <v>2.905000000000001</v>
      </c>
      <c r="I112" s="8" t="n">
        <v>24.50000000000045</v>
      </c>
      <c r="J112" s="8" t="n">
        <v>3.000000000000114</v>
      </c>
      <c r="K112" s="8" t="n">
        <v>18.50000000000023</v>
      </c>
      <c r="L112" s="8" t="n">
        <v>2.500000000000568</v>
      </c>
    </row>
    <row r="113">
      <c r="A113" s="13" t="n">
        <v>46245</v>
      </c>
      <c r="B113" s="7" t="n">
        <v>112</v>
      </c>
      <c r="C113" s="7" t="n">
        <v>4.040000000000006</v>
      </c>
      <c r="D113" s="7" t="n">
        <v>4.265000000000001</v>
      </c>
      <c r="E113" s="7" t="n">
        <v>4.254999999999996</v>
      </c>
      <c r="F113" s="7" t="n">
        <v>2.739999999999995</v>
      </c>
      <c r="G113" s="7" t="n">
        <v>2.909999999999997</v>
      </c>
      <c r="H113" s="7" t="n">
        <v>2.875</v>
      </c>
      <c r="I113" s="7" t="n">
        <v>22.49999999999943</v>
      </c>
      <c r="J113" s="7" t="n">
        <v>1.000000000000423</v>
      </c>
      <c r="K113" s="7" t="n">
        <v>17.00000000000017</v>
      </c>
      <c r="L113" s="7" t="n">
        <v>3.499999999999659</v>
      </c>
    </row>
    <row r="114">
      <c r="A114" s="12" t="n">
        <v>46246</v>
      </c>
      <c r="B114" s="8" t="n">
        <v>113</v>
      </c>
      <c r="C114" s="8" t="n">
        <v>4.060000000000002</v>
      </c>
      <c r="D114" s="8" t="n">
        <v>4.284999999999997</v>
      </c>
      <c r="E114" s="8" t="n">
        <v>4.265000000000001</v>
      </c>
      <c r="F114" s="8" t="n">
        <v>2.754999999999995</v>
      </c>
      <c r="G114" s="8" t="n">
        <v>2.909999999999997</v>
      </c>
      <c r="H114" s="8" t="n">
        <v>2.879999999999995</v>
      </c>
      <c r="I114" s="8" t="n">
        <v>22.49999999999943</v>
      </c>
      <c r="J114" s="8" t="n">
        <v>1.999999999999602</v>
      </c>
      <c r="K114" s="8" t="n">
        <v>15.50000000000011</v>
      </c>
      <c r="L114" s="8" t="n">
        <v>3.000000000000114</v>
      </c>
    </row>
    <row r="115">
      <c r="A115" s="13" t="n">
        <v>46247</v>
      </c>
      <c r="B115" s="7" t="n">
        <v>114</v>
      </c>
      <c r="C115" s="7" t="n">
        <v>4.049999999999997</v>
      </c>
      <c r="D115" s="7" t="n">
        <v>4.260000000000005</v>
      </c>
      <c r="E115" s="7" t="n">
        <v>4.234999999999999</v>
      </c>
      <c r="F115" s="7" t="n">
        <v>2.739999999999995</v>
      </c>
      <c r="G115" s="7" t="n">
        <v>2.879999999999995</v>
      </c>
      <c r="H115" s="7" t="n">
        <v>2.844999999999999</v>
      </c>
      <c r="I115" s="7" t="n">
        <v>21.0000000000008</v>
      </c>
      <c r="J115" s="7" t="n">
        <v>2.500000000000568</v>
      </c>
      <c r="K115" s="7" t="n">
        <v>14.00000000000006</v>
      </c>
      <c r="L115" s="7" t="n">
        <v>3.499999999999659</v>
      </c>
    </row>
    <row r="116">
      <c r="A116" s="12" t="n">
        <v>46248</v>
      </c>
      <c r="B116" s="8" t="n">
        <v>115</v>
      </c>
      <c r="C116" s="8" t="n">
        <v>4.055000000000007</v>
      </c>
      <c r="D116" s="8" t="n">
        <v>4.305000000000007</v>
      </c>
      <c r="E116" s="8" t="n">
        <v>4.299999999999997</v>
      </c>
      <c r="F116" s="8" t="n">
        <v>2.760000000000005</v>
      </c>
      <c r="G116" s="8" t="n">
        <v>2.924999999999997</v>
      </c>
      <c r="H116" s="8" t="n">
        <v>2.909999999999997</v>
      </c>
      <c r="I116" s="8" t="n">
        <v>25</v>
      </c>
      <c r="J116" s="8" t="n">
        <v>0.5000000000009663</v>
      </c>
      <c r="K116" s="8" t="n">
        <v>16.4999999999992</v>
      </c>
      <c r="L116" s="8" t="n">
        <v>1.500000000000057</v>
      </c>
    </row>
    <row r="117">
      <c r="A117" s="13" t="n">
        <v>46251</v>
      </c>
      <c r="B117" s="7" t="n">
        <v>116</v>
      </c>
      <c r="C117" s="7" t="n">
        <v>4.075000000000003</v>
      </c>
      <c r="D117" s="7" t="n">
        <v>4.329999999999998</v>
      </c>
      <c r="E117" s="7" t="n">
        <v>4.319999999999993</v>
      </c>
      <c r="F117" s="7" t="n">
        <v>2.760000000000005</v>
      </c>
      <c r="G117" s="7" t="n">
        <v>2.920000000000002</v>
      </c>
      <c r="H117" s="7" t="n">
        <v>2.920000000000002</v>
      </c>
      <c r="I117" s="7" t="n">
        <v>25.49999999999955</v>
      </c>
      <c r="J117" s="7" t="n">
        <v>1.000000000000512</v>
      </c>
      <c r="K117" s="7" t="n">
        <v>15.99999999999966</v>
      </c>
      <c r="L117" s="7" t="n">
        <v>0</v>
      </c>
    </row>
    <row r="118">
      <c r="A118" s="12" t="n">
        <v>46252</v>
      </c>
      <c r="B118" s="8" t="n">
        <v>117</v>
      </c>
      <c r="C118" s="8" t="n">
        <v>4.084999999999994</v>
      </c>
      <c r="D118" s="8" t="n">
        <v>4.359999999999999</v>
      </c>
      <c r="E118" s="8" t="n">
        <v>4.355000000000004</v>
      </c>
      <c r="F118" s="8" t="n">
        <v>2.790000000000006</v>
      </c>
      <c r="G118" s="8" t="n">
        <v>2.984999999999999</v>
      </c>
      <c r="H118" s="8" t="n">
        <v>2.965000000000003</v>
      </c>
      <c r="I118" s="8" t="n">
        <v>27.50000000000057</v>
      </c>
      <c r="J118" s="8" t="n">
        <v>0.4999999999995453</v>
      </c>
      <c r="K118" s="8" t="n">
        <v>19.49999999999932</v>
      </c>
      <c r="L118" s="8" t="n">
        <v>1.999999999999602</v>
      </c>
    </row>
    <row r="119">
      <c r="A119" s="13" t="n">
        <v>46253</v>
      </c>
      <c r="B119" s="7" t="n">
        <v>118</v>
      </c>
      <c r="C119" s="7" t="n">
        <v>4.069999999999993</v>
      </c>
      <c r="D119" s="7" t="n">
        <v>4.355000000000004</v>
      </c>
      <c r="E119" s="7" t="n">
        <v>4.334999999999994</v>
      </c>
      <c r="F119" s="7" t="n">
        <v>2.799999999999997</v>
      </c>
      <c r="G119" s="7" t="n">
        <v>3.010000000000005</v>
      </c>
      <c r="H119" s="7" t="n">
        <v>2.980000000000004</v>
      </c>
      <c r="I119" s="7" t="n">
        <v>28.50000000000108</v>
      </c>
      <c r="J119" s="7" t="n">
        <v>2.000000000001023</v>
      </c>
      <c r="K119" s="7" t="n">
        <v>21.0000000000008</v>
      </c>
      <c r="L119" s="7" t="n">
        <v>3.000000000000114</v>
      </c>
    </row>
    <row r="120">
      <c r="A120" s="12" t="n">
        <v>46254</v>
      </c>
      <c r="B120" s="8" t="n">
        <v>119</v>
      </c>
      <c r="C120" s="8" t="n">
        <v>4.075000000000003</v>
      </c>
      <c r="D120" s="8" t="n">
        <v>4.359999999999999</v>
      </c>
      <c r="E120" s="8" t="n">
        <v>4.340000000000003</v>
      </c>
      <c r="F120" s="8" t="n">
        <v>2.784999999999997</v>
      </c>
      <c r="G120" s="8" t="n">
        <v>2.980000000000004</v>
      </c>
      <c r="H120" s="8" t="n">
        <v>2.959999999999994</v>
      </c>
      <c r="I120" s="8" t="n">
        <v>28.49999999999966</v>
      </c>
      <c r="J120" s="8" t="n">
        <v>1.999999999999602</v>
      </c>
      <c r="K120" s="8" t="n">
        <v>19.50000000000074</v>
      </c>
      <c r="L120" s="8" t="n">
        <v>2.000000000001023</v>
      </c>
    </row>
    <row r="121">
      <c r="A121" s="13" t="n">
        <v>46255</v>
      </c>
      <c r="B121" s="7" t="n">
        <v>120</v>
      </c>
      <c r="C121" s="7" t="n">
        <v>4.069999999999993</v>
      </c>
      <c r="D121" s="7" t="n">
        <v>4.340000000000003</v>
      </c>
      <c r="E121" s="7" t="n">
        <v>4.329999999999998</v>
      </c>
      <c r="F121" s="7" t="n">
        <v>2.780000000000001</v>
      </c>
      <c r="G121" s="7" t="n">
        <v>2.969999999999999</v>
      </c>
      <c r="H121" s="7" t="n">
        <v>2.959999999999994</v>
      </c>
      <c r="I121" s="7" t="n">
        <v>27.00000000000102</v>
      </c>
      <c r="J121" s="7" t="n">
        <v>1.000000000000512</v>
      </c>
      <c r="K121" s="7" t="n">
        <v>18.99999999999977</v>
      </c>
      <c r="L121" s="7" t="n">
        <v>1.000000000000512</v>
      </c>
    </row>
    <row r="122">
      <c r="A122" s="12" t="n">
        <v>46258</v>
      </c>
      <c r="B122" s="8" t="n">
        <v>121</v>
      </c>
      <c r="C122" s="8" t="n">
        <v>4.084999999999994</v>
      </c>
      <c r="D122" s="8" t="n">
        <v>4.385000000000005</v>
      </c>
      <c r="E122" s="8" t="n">
        <v>4.344999999999999</v>
      </c>
      <c r="F122" s="8" t="n">
        <v>2.810000000000002</v>
      </c>
      <c r="G122" s="8" t="n">
        <v>3.019999999999996</v>
      </c>
      <c r="H122" s="8" t="n">
        <v>2.974999999999994</v>
      </c>
      <c r="I122" s="8" t="n">
        <v>30.00000000000114</v>
      </c>
      <c r="J122" s="8" t="n">
        <v>4.000000000000625</v>
      </c>
      <c r="K122" s="8" t="n">
        <v>20.99999999999937</v>
      </c>
      <c r="L122" s="8" t="n">
        <v>4.500000000000171</v>
      </c>
    </row>
    <row r="123">
      <c r="A123" s="13" t="n">
        <v>46259</v>
      </c>
      <c r="B123" s="7" t="n">
        <v>122</v>
      </c>
      <c r="C123" s="7" t="n">
        <v>4.049999999999997</v>
      </c>
      <c r="D123" s="7" t="n">
        <v>4.305000000000007</v>
      </c>
      <c r="E123" s="7" t="n">
        <v>4.275000000000006</v>
      </c>
      <c r="F123" s="7" t="n">
        <v>2.780000000000001</v>
      </c>
      <c r="G123" s="7" t="n">
        <v>2.950000000000003</v>
      </c>
      <c r="H123" s="7" t="n">
        <v>2.920000000000002</v>
      </c>
      <c r="I123" s="7" t="n">
        <v>25.50000000000097</v>
      </c>
      <c r="J123" s="7" t="n">
        <v>3.000000000000114</v>
      </c>
      <c r="K123" s="7" t="n">
        <v>17.00000000000017</v>
      </c>
      <c r="L123" s="7" t="n">
        <v>3.000000000000114</v>
      </c>
    </row>
    <row r="124">
      <c r="A124" s="12" t="n">
        <v>46260</v>
      </c>
      <c r="B124" s="8" t="n">
        <v>123</v>
      </c>
      <c r="C124" s="8" t="n">
        <v>4.049999999999997</v>
      </c>
      <c r="D124" s="8" t="n">
        <v>4.319999999999993</v>
      </c>
      <c r="E124" s="8" t="n">
        <v>4.299999999999997</v>
      </c>
      <c r="F124" s="8" t="n">
        <v>2.784999999999997</v>
      </c>
      <c r="G124" s="8" t="n">
        <v>2.959999999999994</v>
      </c>
      <c r="H124" s="8" t="n">
        <v>2.939999999999998</v>
      </c>
      <c r="I124" s="8" t="n">
        <v>26.9999999999996</v>
      </c>
      <c r="J124" s="8" t="n">
        <v>1.999999999999602</v>
      </c>
      <c r="K124" s="8" t="n">
        <v>17.49999999999972</v>
      </c>
      <c r="L124" s="8" t="n">
        <v>1.999999999999602</v>
      </c>
    </row>
    <row r="125">
      <c r="A125" s="13" t="n">
        <v>46261</v>
      </c>
      <c r="B125" s="7" t="n">
        <v>124</v>
      </c>
      <c r="C125" s="7" t="n">
        <v>4.055000000000007</v>
      </c>
      <c r="D125" s="7" t="n">
        <v>4.334999999999994</v>
      </c>
      <c r="E125" s="7" t="n">
        <v>4.319999999999993</v>
      </c>
      <c r="F125" s="7" t="n">
        <v>2.790000000000006</v>
      </c>
      <c r="G125" s="7" t="n">
        <v>2.995000000000005</v>
      </c>
      <c r="H125" s="7" t="n">
        <v>2.965000000000003</v>
      </c>
      <c r="I125" s="7" t="n">
        <v>27.99999999999869</v>
      </c>
      <c r="J125" s="7" t="n">
        <v>1.500000000000057</v>
      </c>
      <c r="K125" s="7" t="n">
        <v>20.49999999999983</v>
      </c>
      <c r="L125" s="7" t="n">
        <v>3.000000000000114</v>
      </c>
    </row>
    <row r="126">
      <c r="A126" s="12" t="n">
        <v>46262</v>
      </c>
      <c r="B126" s="8" t="n">
        <v>125</v>
      </c>
      <c r="C126" s="8" t="n">
        <v>4.094999999999999</v>
      </c>
      <c r="D126" s="8" t="n">
        <v>4.415000000000006</v>
      </c>
      <c r="E126" s="8" t="n">
        <v>4.370000000000005</v>
      </c>
      <c r="F126" s="8" t="n">
        <v>2.810000000000002</v>
      </c>
      <c r="G126" s="8" t="n">
        <v>3.055000000000007</v>
      </c>
      <c r="H126" s="8" t="n">
        <v>3.004999999999995</v>
      </c>
      <c r="I126" s="8" t="n">
        <v>32.00000000000074</v>
      </c>
      <c r="J126" s="8" t="n">
        <v>4.500000000000171</v>
      </c>
      <c r="K126" s="8" t="n">
        <v>24.50000000000045</v>
      </c>
      <c r="L126" s="8" t="n">
        <v>5.000000000001137</v>
      </c>
    </row>
    <row r="127">
      <c r="A127" s="13" t="n">
        <v>46266</v>
      </c>
      <c r="B127" s="7" t="n">
        <v>126</v>
      </c>
      <c r="C127" s="7" t="n">
        <v>4.140000000000001</v>
      </c>
      <c r="D127" s="7" t="n">
        <v>4.519999999999996</v>
      </c>
      <c r="E127" s="7" t="n">
        <v>4.465000000000003</v>
      </c>
      <c r="F127" s="7" t="n">
        <v>2.834999999999994</v>
      </c>
      <c r="G127" s="7" t="n">
        <v>3.125</v>
      </c>
      <c r="H127" s="7" t="n">
        <v>3.079999999999998</v>
      </c>
      <c r="I127" s="7" t="n">
        <v>37.99999999999955</v>
      </c>
      <c r="J127" s="7" t="n">
        <v>5.499999999999261</v>
      </c>
      <c r="K127" s="7" t="n">
        <v>29.00000000000063</v>
      </c>
      <c r="L127" s="7" t="n">
        <v>4.500000000000171</v>
      </c>
    </row>
    <row r="128">
      <c r="A128" s="12" t="n">
        <v>46267</v>
      </c>
      <c r="B128" s="8" t="n">
        <v>127</v>
      </c>
      <c r="C128" s="8" t="n">
        <v>4.155000000000001</v>
      </c>
      <c r="D128" s="8" t="n">
        <v>4.564999999999998</v>
      </c>
      <c r="E128" s="8" t="n">
        <v>4.5</v>
      </c>
      <c r="F128" s="8" t="n">
        <v>2.864999999999995</v>
      </c>
      <c r="G128" s="8" t="n">
        <v>3.180000000000007</v>
      </c>
      <c r="H128" s="8" t="n">
        <v>3.129999999999995</v>
      </c>
      <c r="I128" s="8" t="n">
        <v>40.99999999999966</v>
      </c>
      <c r="J128" s="8" t="n">
        <v>6.499999999999773</v>
      </c>
      <c r="K128" s="8" t="n">
        <v>31.50000000000119</v>
      </c>
      <c r="L128" s="8" t="n">
        <v>5.000000000001137</v>
      </c>
    </row>
    <row r="129">
      <c r="A129" s="13" t="n">
        <v>46268</v>
      </c>
      <c r="B129" s="7" t="n">
        <v>128</v>
      </c>
      <c r="C129" s="7" t="n">
        <v>4.105000000000004</v>
      </c>
      <c r="D129" s="7" t="n">
        <v>4.454999999999998</v>
      </c>
      <c r="E129" s="7" t="n">
        <v>4.405000000000001</v>
      </c>
      <c r="F129" s="7" t="n">
        <v>2.844999999999999</v>
      </c>
      <c r="G129" s="7" t="n">
        <v>3.129999999999995</v>
      </c>
      <c r="H129" s="7" t="n">
        <v>3.084999999999994</v>
      </c>
      <c r="I129" s="7" t="n">
        <v>34.99999999999943</v>
      </c>
      <c r="J129" s="7" t="n">
        <v>4.999999999999716</v>
      </c>
      <c r="K129" s="7" t="n">
        <v>28.49999999999966</v>
      </c>
      <c r="L129" s="7" t="n">
        <v>4.500000000000171</v>
      </c>
    </row>
    <row r="130">
      <c r="A130" s="12" t="n">
        <v>46269</v>
      </c>
      <c r="B130" s="8" t="n">
        <v>129</v>
      </c>
      <c r="C130" s="8" t="n">
        <v>4.094999999999999</v>
      </c>
      <c r="D130" s="8" t="n">
        <v>4.450000000000003</v>
      </c>
      <c r="E130" s="8" t="n">
        <v>4.415000000000006</v>
      </c>
      <c r="F130" s="8" t="n">
        <v>2.829999999999998</v>
      </c>
      <c r="G130" s="8" t="n">
        <v>3.114999999999995</v>
      </c>
      <c r="H130" s="8" t="n">
        <v>3.084999999999994</v>
      </c>
      <c r="I130" s="8" t="n">
        <v>35.5000000000004</v>
      </c>
      <c r="J130" s="8" t="n">
        <v>3.499999999999659</v>
      </c>
      <c r="K130" s="8" t="n">
        <v>28.49999999999966</v>
      </c>
      <c r="L130" s="8" t="n">
        <v>3.000000000000114</v>
      </c>
    </row>
    <row r="131">
      <c r="A131" s="13" t="n">
        <v>46272</v>
      </c>
      <c r="B131" s="7" t="n">
        <v>130</v>
      </c>
      <c r="C131" s="7" t="n">
        <v>4.120000000000005</v>
      </c>
      <c r="D131" s="7" t="n">
        <v>4.495000000000005</v>
      </c>
      <c r="E131" s="7" t="n">
        <v>4.444999999999993</v>
      </c>
      <c r="F131" s="7" t="n">
        <v>2.855000000000004</v>
      </c>
      <c r="G131" s="7" t="n">
        <v>3.174999999999997</v>
      </c>
      <c r="H131" s="7" t="n">
        <v>3.140000000000001</v>
      </c>
      <c r="I131" s="7" t="n">
        <v>37.5</v>
      </c>
      <c r="J131" s="7" t="n">
        <v>5.000000000001137</v>
      </c>
      <c r="K131" s="7" t="n">
        <v>31.99999999999932</v>
      </c>
      <c r="L131" s="7" t="n">
        <v>3.499999999999615</v>
      </c>
    </row>
    <row r="132">
      <c r="A132" s="12" t="n">
        <v>46273</v>
      </c>
      <c r="B132" s="8" t="n">
        <v>131</v>
      </c>
      <c r="C132" s="8" t="n">
        <v>4.120000000000005</v>
      </c>
      <c r="D132" s="8" t="n">
        <v>4.510000000000005</v>
      </c>
      <c r="E132" s="8" t="n">
        <v>4.459999999999994</v>
      </c>
      <c r="F132" s="8" t="n">
        <v>2.844999999999999</v>
      </c>
      <c r="G132" s="8" t="n">
        <v>3.165000000000006</v>
      </c>
      <c r="H132" s="8" t="n">
        <v>3.135000000000005</v>
      </c>
      <c r="I132" s="8" t="n">
        <v>39.00000000000006</v>
      </c>
      <c r="J132" s="8" t="n">
        <v>5.000000000001137</v>
      </c>
      <c r="K132" s="8" t="n">
        <v>32.00000000000074</v>
      </c>
      <c r="L132" s="8" t="n">
        <v>3.000000000000114</v>
      </c>
    </row>
    <row r="133">
      <c r="A133" s="13" t="n">
        <v>46274</v>
      </c>
      <c r="B133" s="7" t="n">
        <v>132</v>
      </c>
      <c r="C133" s="7" t="n">
        <v>4.159999999999997</v>
      </c>
      <c r="D133" s="7" t="n">
        <v>4.625</v>
      </c>
      <c r="E133" s="7" t="n">
        <v>4.579999999999998</v>
      </c>
      <c r="F133" s="7" t="n">
        <v>2.875</v>
      </c>
      <c r="G133" s="7" t="n">
        <v>3.265000000000001</v>
      </c>
      <c r="H133" s="7" t="n">
        <v>3.230000000000004</v>
      </c>
      <c r="I133" s="7" t="n">
        <v>46.50000000000034</v>
      </c>
      <c r="J133" s="7" t="n">
        <v>4.500000000000171</v>
      </c>
      <c r="K133" s="7" t="n">
        <v>39.0000000000001</v>
      </c>
      <c r="L133" s="7" t="n">
        <v>3.499999999999703</v>
      </c>
    </row>
    <row r="134">
      <c r="A134" s="12" t="n">
        <v>46275</v>
      </c>
      <c r="B134" s="8" t="n">
        <v>133</v>
      </c>
      <c r="C134" s="8" t="n">
        <v>4.275000000000006</v>
      </c>
      <c r="D134" s="8" t="n">
        <v>4.855000000000004</v>
      </c>
      <c r="E134" s="8" t="n">
        <v>4.75</v>
      </c>
      <c r="F134" s="8" t="n">
        <v>3.010000000000005</v>
      </c>
      <c r="G134" s="8" t="n">
        <v>3.484999999999999</v>
      </c>
      <c r="H134" s="8" t="n">
        <v>3.349999999999994</v>
      </c>
      <c r="I134" s="8" t="n">
        <v>57.99999999999983</v>
      </c>
      <c r="J134" s="8" t="n">
        <v>10.5000000000004</v>
      </c>
      <c r="K134" s="8" t="n">
        <v>47.49999999999943</v>
      </c>
      <c r="L134" s="8" t="n">
        <v>13.50000000000051</v>
      </c>
    </row>
    <row r="135">
      <c r="A135" s="13" t="n">
        <v>46276</v>
      </c>
      <c r="B135" s="7" t="n">
        <v>134</v>
      </c>
      <c r="C135" s="7" t="n">
        <v>4.284999999999997</v>
      </c>
      <c r="D135" s="7" t="n">
        <v>4.819999999999993</v>
      </c>
      <c r="E135" s="7" t="n">
        <v>4.694999999999993</v>
      </c>
      <c r="F135" s="7" t="n">
        <v>3.025000000000006</v>
      </c>
      <c r="G135" s="7" t="n">
        <v>3.465000000000003</v>
      </c>
      <c r="H135" s="7" t="n">
        <v>3.344999999999999</v>
      </c>
      <c r="I135" s="7" t="n">
        <v>53.49999999999966</v>
      </c>
      <c r="J135" s="7" t="n">
        <v>12.5</v>
      </c>
      <c r="K135" s="7" t="n">
        <v>43.99999999999977</v>
      </c>
      <c r="L135" s="7" t="n">
        <v>12.00000000000045</v>
      </c>
    </row>
    <row r="136">
      <c r="A136" s="12" t="n">
        <v>46279</v>
      </c>
      <c r="B136" s="8" t="n">
        <v>135</v>
      </c>
      <c r="C136" s="8" t="n">
        <v>4.344999999999999</v>
      </c>
      <c r="D136" s="8" t="n">
        <v>4.939999999999998</v>
      </c>
      <c r="E136" s="8" t="n">
        <v>4.784999999999997</v>
      </c>
      <c r="F136" s="8" t="n">
        <v>3.075000000000003</v>
      </c>
      <c r="G136" s="8" t="n">
        <v>3.594999999999999</v>
      </c>
      <c r="H136" s="8" t="n">
        <v>3.424999999999997</v>
      </c>
      <c r="I136" s="8" t="n">
        <v>59.49999999999989</v>
      </c>
      <c r="J136" s="8" t="n">
        <v>15.50000000000011</v>
      </c>
      <c r="K136" s="8" t="n">
        <v>51.9999999999996</v>
      </c>
      <c r="L136" s="8" t="n">
        <v>17.00000000000017</v>
      </c>
    </row>
    <row r="137">
      <c r="A137" s="13" t="n">
        <v>46280</v>
      </c>
      <c r="B137" s="7" t="n">
        <v>136</v>
      </c>
      <c r="C137" s="7" t="n">
        <v>4.310000000000002</v>
      </c>
      <c r="D137" s="7" t="n">
        <v>4.894999999999996</v>
      </c>
      <c r="E137" s="7" t="n">
        <v>4.795000000000002</v>
      </c>
      <c r="F137" s="7" t="n">
        <v>3.019999999999996</v>
      </c>
      <c r="G137" s="7" t="n">
        <v>3.525000000000006</v>
      </c>
      <c r="H137" s="7" t="n">
        <v>3.409999999999997</v>
      </c>
      <c r="I137" s="7" t="n">
        <v>58.49999999999937</v>
      </c>
      <c r="J137" s="7" t="n">
        <v>9.999999999999432</v>
      </c>
      <c r="K137" s="7" t="n">
        <v>50.50000000000097</v>
      </c>
      <c r="L137" s="7" t="n">
        <v>11.50000000000091</v>
      </c>
    </row>
    <row r="138">
      <c r="A138" s="12" t="n">
        <v>46281</v>
      </c>
      <c r="B138" s="8" t="n">
        <v>137</v>
      </c>
      <c r="C138" s="8" t="n">
        <v>4.224999999999994</v>
      </c>
      <c r="D138" s="8" t="n">
        <v>4.724999999999994</v>
      </c>
      <c r="E138" s="8" t="n">
        <v>4.629999999999996</v>
      </c>
      <c r="F138" s="8" t="n">
        <v>3</v>
      </c>
      <c r="G138" s="8" t="n">
        <v>3.459999999999994</v>
      </c>
      <c r="H138" s="8" t="n">
        <v>3.355000000000004</v>
      </c>
      <c r="I138" s="8" t="n">
        <v>50</v>
      </c>
      <c r="J138" s="8" t="n">
        <v>9.499999999999797</v>
      </c>
      <c r="K138" s="8" t="n">
        <v>45.99999999999937</v>
      </c>
      <c r="L138" s="8" t="n">
        <v>10.49999999999898</v>
      </c>
    </row>
    <row r="139">
      <c r="A139" s="13" t="n">
        <v>46282</v>
      </c>
      <c r="B139" s="7" t="n">
        <v>138</v>
      </c>
      <c r="C139" s="7" t="n">
        <v>4.230000000000004</v>
      </c>
      <c r="D139" s="7" t="n">
        <v>4.730000000000004</v>
      </c>
      <c r="E139" s="7" t="n">
        <v>4.599999999999994</v>
      </c>
      <c r="F139" s="7" t="n">
        <v>3.015000000000001</v>
      </c>
      <c r="G139" s="7" t="n">
        <v>3.480000000000004</v>
      </c>
      <c r="H139" s="7" t="n">
        <v>3.349999999999994</v>
      </c>
      <c r="I139" s="7" t="n">
        <v>50</v>
      </c>
      <c r="J139" s="7" t="n">
        <v>13.00000000000097</v>
      </c>
      <c r="K139" s="7" t="n">
        <v>46.5000000000003</v>
      </c>
      <c r="L139" s="7" t="n">
        <v>13.00000000000097</v>
      </c>
    </row>
    <row r="140">
      <c r="A140" s="12" t="n">
        <v>46283</v>
      </c>
      <c r="B140" s="8" t="n">
        <v>139</v>
      </c>
      <c r="C140" s="8" t="n">
        <v>4.25</v>
      </c>
      <c r="D140" s="8" t="n">
        <v>4.879999999999996</v>
      </c>
      <c r="E140" s="8" t="n">
        <v>4.724999999999994</v>
      </c>
      <c r="F140" s="8" t="n">
        <v>3.049999999999997</v>
      </c>
      <c r="G140" s="8" t="n">
        <v>3.584999999999994</v>
      </c>
      <c r="H140" s="8" t="n">
        <v>3.454999999999998</v>
      </c>
      <c r="I140" s="8" t="n">
        <v>62.99999999999963</v>
      </c>
      <c r="J140" s="8" t="n">
        <v>15.5000000000002</v>
      </c>
      <c r="K140" s="8" t="n">
        <v>53.49999999999966</v>
      </c>
      <c r="L140" s="8" t="n">
        <v>12.99999999999955</v>
      </c>
    </row>
    <row r="141">
      <c r="A141" s="13" t="n">
        <v>46286</v>
      </c>
      <c r="B141" s="7" t="n">
        <v>140</v>
      </c>
      <c r="C141" s="7" t="n">
        <v>4.200000000000003</v>
      </c>
      <c r="D141" s="7" t="n">
        <v>4.765000000000001</v>
      </c>
      <c r="E141" s="7" t="n">
        <v>4.605000000000004</v>
      </c>
      <c r="F141" s="7" t="n">
        <v>2.995000000000005</v>
      </c>
      <c r="G141" s="7" t="n">
        <v>3.465000000000003</v>
      </c>
      <c r="H141" s="7" t="n">
        <v>3.334999999999994</v>
      </c>
      <c r="I141" s="7" t="n">
        <v>56.49999999999977</v>
      </c>
      <c r="J141" s="7" t="n">
        <v>15.99999999999966</v>
      </c>
      <c r="K141" s="7" t="n">
        <v>46.99999999999989</v>
      </c>
      <c r="L141" s="7" t="n">
        <v>13.00000000000097</v>
      </c>
    </row>
    <row r="142">
      <c r="A142" s="12" t="n">
        <v>46287</v>
      </c>
      <c r="B142" s="8" t="n">
        <v>141</v>
      </c>
      <c r="C142" s="8" t="n">
        <v>4.200000000000003</v>
      </c>
      <c r="D142" s="8" t="n">
        <v>4.769999999999996</v>
      </c>
      <c r="E142" s="8" t="n">
        <v>4.614999999999995</v>
      </c>
      <c r="F142" s="8" t="n">
        <v>2.989999999999995</v>
      </c>
      <c r="G142" s="8" t="n">
        <v>3.474999999999994</v>
      </c>
      <c r="H142" s="8" t="n">
        <v>3.340000000000003</v>
      </c>
      <c r="I142" s="8" t="n">
        <v>56.99999999999932</v>
      </c>
      <c r="J142" s="8" t="n">
        <v>15.50000000000011</v>
      </c>
      <c r="K142" s="8" t="n">
        <v>48.49999999999994</v>
      </c>
      <c r="L142" s="8" t="n">
        <v>13.49999999999909</v>
      </c>
    </row>
  </sheetData>
  <autoFilter ref="A1:L142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4" t="inlineStr">
        <is>
          <t>Ordered differences: row minus column</t>
        </is>
      </c>
    </row>
    <row r="3">
      <c r="A3" s="15" t="inlineStr">
        <is>
          <t>Current level (bp)</t>
        </is>
      </c>
    </row>
    <row r="4">
      <c r="A4" s="6" t="inlineStr">
        <is>
          <t>row − column</t>
        </is>
      </c>
      <c r="B4" s="6" t="inlineStr">
        <is>
          <t>GB_BUILD</t>
        </is>
      </c>
      <c r="C4" s="6" t="inlineStr">
        <is>
          <t>GB_CUT</t>
        </is>
      </c>
      <c r="D4" s="6" t="inlineStr">
        <is>
          <t>EU_BUILD</t>
        </is>
      </c>
      <c r="E4" s="6" t="inlineStr">
        <is>
          <t>EU_CUT</t>
        </is>
      </c>
    </row>
    <row r="5">
      <c r="A5" s="7" t="inlineStr">
        <is>
          <t>GB_BUILD</t>
        </is>
      </c>
      <c r="B5" s="7" t="n">
        <v>0</v>
      </c>
      <c r="C5" s="7" t="n">
        <v>41.4999999999992</v>
      </c>
      <c r="D5" s="7" t="n">
        <v>8.499999999999375</v>
      </c>
      <c r="E5" s="7" t="n">
        <v>43.50000000000023</v>
      </c>
    </row>
    <row r="6">
      <c r="A6" s="8" t="inlineStr">
        <is>
          <t>GB_CUT</t>
        </is>
      </c>
      <c r="B6" s="8" t="n">
        <v>-41.4999999999992</v>
      </c>
      <c r="C6" s="8" t="n">
        <v>0</v>
      </c>
      <c r="D6" s="8" t="n">
        <v>-32.99999999999983</v>
      </c>
      <c r="E6" s="8" t="n">
        <v>2.000000000001023</v>
      </c>
    </row>
    <row r="7">
      <c r="A7" s="7" t="inlineStr">
        <is>
          <t>EU_BUILD</t>
        </is>
      </c>
      <c r="B7" s="7" t="n">
        <v>-8.499999999999375</v>
      </c>
      <c r="C7" s="7" t="n">
        <v>32.99999999999983</v>
      </c>
      <c r="D7" s="7" t="n">
        <v>0</v>
      </c>
      <c r="E7" s="7" t="n">
        <v>35.00000000000085</v>
      </c>
    </row>
    <row r="8">
      <c r="A8" s="8" t="inlineStr">
        <is>
          <t>EU_CUT</t>
        </is>
      </c>
      <c r="B8" s="8" t="n">
        <v>-43.50000000000023</v>
      </c>
      <c r="C8" s="8" t="n">
        <v>-2.000000000001023</v>
      </c>
      <c r="D8" s="8" t="n">
        <v>-35.00000000000085</v>
      </c>
      <c r="E8" s="8" t="n">
        <v>0</v>
      </c>
    </row>
    <row r="11">
      <c r="A11" s="15" t="inlineStr">
        <is>
          <t>March-sample percentile</t>
        </is>
      </c>
    </row>
    <row r="12">
      <c r="A12" s="6" t="inlineStr">
        <is>
          <t>row − column</t>
        </is>
      </c>
      <c r="B12" s="6" t="inlineStr">
        <is>
          <t>GB_BUILD</t>
        </is>
      </c>
      <c r="C12" s="6" t="inlineStr">
        <is>
          <t>GB_CUT</t>
        </is>
      </c>
      <c r="D12" s="6" t="inlineStr">
        <is>
          <t>EU_BUILD</t>
        </is>
      </c>
      <c r="E12" s="6" t="inlineStr">
        <is>
          <t>EU_CUT</t>
        </is>
      </c>
    </row>
    <row r="13">
      <c r="A13" s="7" t="inlineStr">
        <is>
          <t>GB_BUILD</t>
        </is>
      </c>
      <c r="B13" s="7" t="n">
        <v>50</v>
      </c>
      <c r="C13" s="7" t="n">
        <v>96.45390070921985</v>
      </c>
      <c r="D13" s="7" t="n">
        <v>90.78014184397163</v>
      </c>
      <c r="E13" s="7" t="n">
        <v>97.87234042553192</v>
      </c>
    </row>
    <row r="14">
      <c r="A14" s="8" t="inlineStr">
        <is>
          <t>GB_CUT</t>
        </is>
      </c>
      <c r="B14" s="8" t="n">
        <v>4.25531914893617</v>
      </c>
      <c r="C14" s="8" t="n">
        <v>50</v>
      </c>
      <c r="D14" s="8" t="n">
        <v>5.673758865248227</v>
      </c>
      <c r="E14" s="8" t="n">
        <v>45.39007092198582</v>
      </c>
    </row>
    <row r="15">
      <c r="A15" s="7" t="inlineStr">
        <is>
          <t>EU_BUILD</t>
        </is>
      </c>
      <c r="B15" s="7" t="n">
        <v>9.929078014184398</v>
      </c>
      <c r="C15" s="7" t="n">
        <v>95.0354609929078</v>
      </c>
      <c r="D15" s="7" t="n">
        <v>50</v>
      </c>
      <c r="E15" s="7" t="n">
        <v>97.16312056737588</v>
      </c>
    </row>
    <row r="16">
      <c r="A16" s="8" t="inlineStr">
        <is>
          <t>EU_CUT</t>
        </is>
      </c>
      <c r="B16" s="8" t="n">
        <v>2.836879432624114</v>
      </c>
      <c r="C16" s="8" t="n">
        <v>57.44680851063831</v>
      </c>
      <c r="D16" s="8" t="n">
        <v>3.546099290780142</v>
      </c>
      <c r="E16" s="8" t="n">
        <v>50</v>
      </c>
    </row>
    <row r="19">
      <c r="A19" s="15" t="inlineStr">
        <is>
          <t>Z-score</t>
        </is>
      </c>
    </row>
    <row r="20">
      <c r="A20" s="6" t="inlineStr">
        <is>
          <t>row − column</t>
        </is>
      </c>
      <c r="B20" s="6" t="inlineStr">
        <is>
          <t>GB_BUILD</t>
        </is>
      </c>
      <c r="C20" s="6" t="inlineStr">
        <is>
          <t>GB_CUT</t>
        </is>
      </c>
      <c r="D20" s="6" t="inlineStr">
        <is>
          <t>EU_BUILD</t>
        </is>
      </c>
      <c r="E20" s="6" t="inlineStr">
        <is>
          <t>EU_CUT</t>
        </is>
      </c>
    </row>
    <row r="21">
      <c r="A21" s="7" t="inlineStr">
        <is>
          <t>GB_BUILD</t>
        </is>
      </c>
      <c r="B21" s="7" t="n">
        <v>0</v>
      </c>
      <c r="C21" s="7" t="n">
        <v>1.786801111800874</v>
      </c>
      <c r="D21" s="7" t="n">
        <v>1.300204124627617</v>
      </c>
      <c r="E21" s="7" t="n">
        <v>2.069273205882153</v>
      </c>
    </row>
    <row r="22">
      <c r="A22" s="16" t="inlineStr">
        <is>
          <t>Interpretation</t>
        </is>
      </c>
      <c r="B22" s="8" t="inlineStr">
        <is>
          <t>Every off-diagonal cell is also listed in Ordered_Diffs with correlation, beta-adjusted residual and hedge-quality diagnostics.</t>
        </is>
      </c>
    </row>
    <row r="23">
      <c r="A23" s="7" t="inlineStr">
        <is>
          <t>EU_BUILD</t>
        </is>
      </c>
      <c r="B23" s="17" t="n"/>
      <c r="C23" s="17" t="n"/>
      <c r="D23" s="17" t="n"/>
      <c r="E23" s="17" t="n"/>
      <c r="F23" s="17" t="n"/>
    </row>
    <row r="24">
      <c r="A24" s="8" t="inlineStr">
        <is>
          <t>EU_CUT</t>
        </is>
      </c>
      <c r="B24" s="8" t="n">
        <v>-2.069273205882153</v>
      </c>
      <c r="C24" s="8" t="n">
        <v>0.5116488597089864</v>
      </c>
      <c r="D24" s="8" t="n">
        <v>-2.143248718552972</v>
      </c>
      <c r="E24" s="8" t="n">
        <v>0</v>
      </c>
    </row>
  </sheetData>
  <mergeCells count="2">
    <mergeCell ref="B22:F23"/>
    <mergeCell ref="A1:F1"/>
  </mergeCells>
  <conditionalFormatting sqref="B5:E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E1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E2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C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5" customWidth="1" min="4" max="4"/>
    <col width="21" customWidth="1" min="5" max="5"/>
    <col width="20" customWidth="1" min="6" max="6"/>
    <col width="20" customWidth="1" min="7" max="7"/>
    <col width="36" customWidth="1" min="8" max="8"/>
    <col width="22" customWidth="1" min="9" max="9"/>
    <col width="23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2" customWidth="1" min="16" max="16"/>
    <col width="19" customWidth="1" min="17" max="17"/>
    <col width="12" customWidth="1" min="18" max="18"/>
    <col width="19" customWidth="1" min="19" max="19"/>
    <col width="26" customWidth="1" min="20" max="20"/>
    <col width="20" customWidth="1" min="21" max="21"/>
    <col width="20" customWidth="1" min="22" max="22"/>
    <col width="20" customWidth="1" min="23" max="23"/>
    <col width="21" customWidth="1" min="24" max="24"/>
    <col width="20" customWidth="1" min="25" max="25"/>
    <col width="20" customWidth="1" min="26" max="26"/>
    <col width="14" customWidth="1" min="27" max="27"/>
    <col width="45" customWidth="1" min="28" max="28"/>
    <col width="20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equivalent_futures_price_spread_bp</t>
        </is>
      </c>
      <c r="I1" s="6" t="inlineStr">
        <is>
          <t>change_1d_bp</t>
        </is>
      </c>
      <c r="J1" s="6" t="inlineStr">
        <is>
          <t>change_since_start_bp</t>
        </is>
      </c>
      <c r="K1" s="6" t="inlineStr">
        <is>
          <t>mean_bp</t>
        </is>
      </c>
      <c r="L1" s="6" t="inlineStr">
        <is>
          <t>median_bp</t>
        </is>
      </c>
      <c r="M1" s="6" t="inlineStr">
        <is>
          <t>std_bp</t>
        </is>
      </c>
      <c r="N1" s="6" t="inlineStr">
        <is>
          <t>zscore</t>
        </is>
      </c>
      <c r="O1" s="6" t="inlineStr">
        <is>
          <t>min_bp</t>
        </is>
      </c>
      <c r="P1" s="6" t="inlineStr">
        <is>
          <t>min_date</t>
        </is>
      </c>
      <c r="Q1" s="6" t="inlineStr">
        <is>
          <t>max_bp</t>
        </is>
      </c>
      <c r="R1" s="6" t="inlineStr">
        <is>
          <t>max_date</t>
        </is>
      </c>
      <c r="S1" s="6" t="inlineStr">
        <is>
          <t>percentile</t>
        </is>
      </c>
      <c r="T1" s="6" t="inlineStr">
        <is>
          <t>futures_price_percentile</t>
        </is>
      </c>
      <c r="U1" s="6" t="inlineStr">
        <is>
          <t>tail_percentile</t>
        </is>
      </c>
      <c r="V1" s="6" t="inlineStr">
        <is>
          <t>distance_to_min_bp</t>
        </is>
      </c>
      <c r="W1" s="6" t="inlineStr">
        <is>
          <t>distance_to_max_bp</t>
        </is>
      </c>
      <c r="X1" s="6" t="inlineStr">
        <is>
          <t>change_5d_bp</t>
        </is>
      </c>
      <c r="Y1" s="6" t="inlineStr">
        <is>
          <t>change_20d_bp</t>
        </is>
      </c>
      <c r="Z1" s="6" t="inlineStr">
        <is>
          <t>daily_vol_bp</t>
        </is>
      </c>
      <c r="AA1" s="6" t="inlineStr">
        <is>
          <t>flag</t>
        </is>
      </c>
      <c r="AB1" s="6" t="inlineStr">
        <is>
          <t>mean_reversion_action</t>
        </is>
      </c>
      <c r="AC1" s="6" t="inlineStr">
        <is>
          <t>pnl_to_mean_bp</t>
        </is>
      </c>
    </row>
    <row r="2">
      <c r="A2" s="8" t="inlineStr">
        <is>
          <t>GB_BUILD</t>
        </is>
      </c>
      <c r="B2" s="8" t="inlineStr">
        <is>
          <t>SONIA buildup: U27 − Z26</t>
        </is>
      </c>
      <c r="C2" s="8" t="inlineStr">
        <is>
          <t>Cumulative SONIA rate rise from Dec-26 to the Sep-27 peak</t>
        </is>
      </c>
      <c r="D2" s="8" t="n">
        <v>141</v>
      </c>
      <c r="E2" s="10" t="n">
        <v>6.499999999999773</v>
      </c>
      <c r="F2" s="10" t="n">
        <v>56.49999999999977</v>
      </c>
      <c r="G2" s="10" t="n">
        <v>56.99999999999932</v>
      </c>
      <c r="H2" s="10" t="n">
        <v>-56.99999999999932</v>
      </c>
      <c r="I2" s="10" t="n">
        <v>0.4999999999995453</v>
      </c>
      <c r="J2" s="10" t="n">
        <v>50.49999999999955</v>
      </c>
      <c r="K2" s="10" t="n">
        <v>9.499999999999988</v>
      </c>
      <c r="L2" s="10" t="n">
        <v>5.500000000000682</v>
      </c>
      <c r="M2" s="10" t="n">
        <v>18.95115902976459</v>
      </c>
      <c r="N2" s="10" t="n">
        <v>2.506443005696701</v>
      </c>
      <c r="O2" s="10" t="n">
        <v>-20.49999999999983</v>
      </c>
      <c r="P2" s="8" t="inlineStr">
        <is>
          <t>2026-03-20</t>
        </is>
      </c>
      <c r="Q2" s="10" t="n">
        <v>62.99999999999963</v>
      </c>
      <c r="R2" s="8" t="inlineStr">
        <is>
          <t>2026-09-18</t>
        </is>
      </c>
      <c r="S2" s="10" t="n">
        <v>97.16312056737588</v>
      </c>
      <c r="T2" s="10" t="n">
        <v>2.836879432624116</v>
      </c>
      <c r="U2" s="10" t="n">
        <v>2.836879432624116</v>
      </c>
      <c r="V2" s="10" t="n">
        <v>77.49999999999915</v>
      </c>
      <c r="W2" s="10" t="n">
        <v>6.000000000000313</v>
      </c>
      <c r="X2" s="10" t="n">
        <v>-1.500000000000057</v>
      </c>
      <c r="Y2" s="10" t="n">
        <v>26.99999999999818</v>
      </c>
      <c r="Z2" s="10" t="n">
        <v>3.393851750143591</v>
      </c>
      <c r="AA2" s="18" t="inlineStr">
        <is>
          <t>EXTREME HIGH</t>
        </is>
      </c>
      <c r="AB2" s="8" t="inlineStr">
        <is>
          <t>SHORT level / receive positive-rate weights</t>
        </is>
      </c>
      <c r="AC2" s="10" t="n">
        <v>47.49999999999933</v>
      </c>
    </row>
    <row r="3">
      <c r="A3" s="7" t="inlineStr">
        <is>
          <t>GB_CUT</t>
        </is>
      </c>
      <c r="B3" s="7" t="inlineStr">
        <is>
          <t>SONIA reversal: U27 − Z28</t>
        </is>
      </c>
      <c r="C3" s="7" t="inlineStr">
        <is>
          <t>Cumulative SONIA rate decline from the Sep-27 peak to Dec-28</t>
        </is>
      </c>
      <c r="D3" s="7" t="n">
        <v>141</v>
      </c>
      <c r="E3" s="11" t="n">
        <v>-18.00000000000068</v>
      </c>
      <c r="F3" s="11" t="n">
        <v>15.99999999999966</v>
      </c>
      <c r="G3" s="11" t="n">
        <v>15.50000000000011</v>
      </c>
      <c r="H3" s="11" t="n">
        <v>-15.50000000000011</v>
      </c>
      <c r="I3" s="11" t="n">
        <v>-0.4999999999995453</v>
      </c>
      <c r="J3" s="11" t="n">
        <v>33.5000000000008</v>
      </c>
      <c r="K3" s="11" t="n">
        <v>6.124113475177309</v>
      </c>
      <c r="L3" s="11" t="n">
        <v>6.499999999999773</v>
      </c>
      <c r="M3" s="11" t="n">
        <v>7.816912988689628</v>
      </c>
      <c r="N3" s="11" t="n">
        <v>1.199435958720389</v>
      </c>
      <c r="O3" s="11" t="n">
        <v>-18.00000000000068</v>
      </c>
      <c r="P3" s="7" t="inlineStr">
        <is>
          <t>2026-03-02</t>
        </is>
      </c>
      <c r="Q3" s="11" t="n">
        <v>23.99999999999949</v>
      </c>
      <c r="R3" s="7" t="inlineStr">
        <is>
          <t>2026-03-20</t>
        </is>
      </c>
      <c r="S3" s="11" t="n">
        <v>90.78014184397163</v>
      </c>
      <c r="T3" s="11" t="n">
        <v>9.219858156028366</v>
      </c>
      <c r="U3" s="11" t="n">
        <v>9.219858156028366</v>
      </c>
      <c r="V3" s="11" t="n">
        <v>33.5000000000008</v>
      </c>
      <c r="W3" s="11" t="n">
        <v>8.499999999999375</v>
      </c>
      <c r="X3" s="11" t="n">
        <v>5.500000000000682</v>
      </c>
      <c r="Y3" s="11" t="n">
        <v>11.49999999999949</v>
      </c>
      <c r="Z3" s="11" t="n">
        <v>3.154571797745771</v>
      </c>
      <c r="AA3" s="19" t="inlineStr">
        <is>
          <t>WATCH HIGH</t>
        </is>
      </c>
      <c r="AB3" s="7" t="inlineStr">
        <is>
          <t>Lean SHORT</t>
        </is>
      </c>
      <c r="AC3" s="11" t="n">
        <v>9.375886524822805</v>
      </c>
    </row>
    <row r="4">
      <c r="A4" s="8" t="inlineStr">
        <is>
          <t>EU_BUILD</t>
        </is>
      </c>
      <c r="B4" s="8" t="inlineStr">
        <is>
          <t>Euribor buildup: U27 − Z26</t>
        </is>
      </c>
      <c r="C4" s="8" t="inlineStr">
        <is>
          <t>Cumulative Euribor rate rise from Dec-26 to the Sep-27 peak</t>
        </is>
      </c>
      <c r="D4" s="8" t="n">
        <v>141</v>
      </c>
      <c r="E4" s="10" t="n">
        <v>9.000000000000341</v>
      </c>
      <c r="F4" s="10" t="n">
        <v>46.99999999999989</v>
      </c>
      <c r="G4" s="10" t="n">
        <v>48.49999999999994</v>
      </c>
      <c r="H4" s="10" t="n">
        <v>-48.49999999999994</v>
      </c>
      <c r="I4" s="10" t="n">
        <v>1.500000000000057</v>
      </c>
      <c r="J4" s="10" t="n">
        <v>39.4999999999996</v>
      </c>
      <c r="K4" s="10" t="n">
        <v>9.085106382978665</v>
      </c>
      <c r="L4" s="10" t="n">
        <v>4.500000000000171</v>
      </c>
      <c r="M4" s="10" t="n">
        <v>14.00420312503262</v>
      </c>
      <c r="N4" s="10" t="n">
        <v>2.814504564459427</v>
      </c>
      <c r="O4" s="10" t="n">
        <v>-9.000000000000341</v>
      </c>
      <c r="P4" s="8" t="inlineStr">
        <is>
          <t>2026-03-20</t>
        </is>
      </c>
      <c r="Q4" s="10" t="n">
        <v>53.49999999999966</v>
      </c>
      <c r="R4" s="8" t="inlineStr">
        <is>
          <t>2026-09-18</t>
        </is>
      </c>
      <c r="S4" s="10" t="n">
        <v>97.87234042553192</v>
      </c>
      <c r="T4" s="10" t="n">
        <v>2.127659574468083</v>
      </c>
      <c r="U4" s="10" t="n">
        <v>2.127659574468083</v>
      </c>
      <c r="V4" s="10" t="n">
        <v>57.50000000000028</v>
      </c>
      <c r="W4" s="10" t="n">
        <v>4.999999999999716</v>
      </c>
      <c r="X4" s="10" t="n">
        <v>-2.000000000001023</v>
      </c>
      <c r="Y4" s="10" t="n">
        <v>27.50000000000057</v>
      </c>
      <c r="Z4" s="10" t="n">
        <v>2.511277236933376</v>
      </c>
      <c r="AA4" s="18" t="inlineStr">
        <is>
          <t>EXTREME HIGH</t>
        </is>
      </c>
      <c r="AB4" s="8" t="inlineStr">
        <is>
          <t>SHORT level / receive positive-rate weights</t>
        </is>
      </c>
      <c r="AC4" s="10" t="n">
        <v>39.41489361702128</v>
      </c>
    </row>
    <row r="5">
      <c r="A5" s="7" t="inlineStr">
        <is>
          <t>EU_CUT</t>
        </is>
      </c>
      <c r="B5" s="7" t="inlineStr">
        <is>
          <t>Euribor reversal: U27 − Z28</t>
        </is>
      </c>
      <c r="C5" s="7" t="inlineStr">
        <is>
          <t>Cumulative Euribor rate decline from the Sep-27 peak to Dec-28</t>
        </is>
      </c>
      <c r="D5" s="7" t="n">
        <v>141</v>
      </c>
      <c r="E5" s="11" t="n">
        <v>-20.49999999999983</v>
      </c>
      <c r="F5" s="11" t="n">
        <v>13.00000000000097</v>
      </c>
      <c r="G5" s="11" t="n">
        <v>13.49999999999909</v>
      </c>
      <c r="H5" s="11" t="n">
        <v>-13.49999999999909</v>
      </c>
      <c r="I5" s="11" t="n">
        <v>0.4999999999981242</v>
      </c>
      <c r="J5" s="11" t="n">
        <v>33.99999999999892</v>
      </c>
      <c r="K5" s="11" t="n">
        <v>1.404255319148949</v>
      </c>
      <c r="L5" s="11" t="n">
        <v>2.999999999998693</v>
      </c>
      <c r="M5" s="11" t="n">
        <v>6.634572570368818</v>
      </c>
      <c r="N5" s="11" t="n">
        <v>1.823138499512672</v>
      </c>
      <c r="O5" s="11" t="n">
        <v>-21.0000000000008</v>
      </c>
      <c r="P5" s="7" t="inlineStr">
        <is>
          <t>2026-03-04</t>
        </is>
      </c>
      <c r="Q5" s="11" t="n">
        <v>17.00000000000017</v>
      </c>
      <c r="R5" s="7" t="inlineStr">
        <is>
          <t>2026-09-14</t>
        </is>
      </c>
      <c r="S5" s="11" t="n">
        <v>98.58156028368793</v>
      </c>
      <c r="T5" s="11" t="n">
        <v>1.418439716312065</v>
      </c>
      <c r="U5" s="11" t="n">
        <v>1.418439716312065</v>
      </c>
      <c r="V5" s="11" t="n">
        <v>34.49999999999989</v>
      </c>
      <c r="W5" s="11" t="n">
        <v>3.50000000000108</v>
      </c>
      <c r="X5" s="11" t="n">
        <v>1.999999999998181</v>
      </c>
      <c r="Y5" s="11" t="n">
        <v>8.99999999999892</v>
      </c>
      <c r="Z5" s="11" t="n">
        <v>2.706563906669147</v>
      </c>
      <c r="AA5" s="18" t="inlineStr">
        <is>
          <t>EXTREME HIGH</t>
        </is>
      </c>
      <c r="AB5" s="7" t="inlineStr">
        <is>
          <t>SHORT level / receive positive-rate weights</t>
        </is>
      </c>
      <c r="AC5" s="11" t="n">
        <v>12.09574468085014</v>
      </c>
    </row>
  </sheetData>
  <autoFilter ref="A1:AC5"/>
  <conditionalFormatting sqref="S2:S5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N2:N5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I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  <col width="5" customWidth="1" min="4" max="4"/>
    <col width="21" customWidth="1" min="5" max="5"/>
    <col width="21" customWidth="1" min="6" max="6"/>
    <col width="21" customWidth="1" min="7" max="7"/>
    <col width="25" customWidth="1" min="8" max="8"/>
    <col width="23" customWidth="1" min="9" max="9"/>
    <col width="22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1" customWidth="1" min="22" max="22"/>
    <col width="21" customWidth="1" min="23" max="23"/>
    <col width="20" customWidth="1" min="24" max="24"/>
    <col width="14" customWidth="1" min="25" max="25"/>
    <col width="45" customWidth="1" min="26" max="26"/>
    <col width="20" customWidth="1" min="27" max="27"/>
    <col width="23" customWidth="1" min="28" max="28"/>
    <col width="23" customWidth="1" min="29" max="29"/>
    <col width="24" customWidth="1" min="30" max="30"/>
    <col width="26" customWidth="1" min="31" max="31"/>
    <col width="26" customWidth="1" min="32" max="32"/>
    <col width="22" customWidth="1" min="33" max="33"/>
    <col width="25" customWidth="1" min="34" max="34"/>
    <col width="15" customWidth="1" min="35" max="35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  <c r="AB1" s="6" t="inlineStr">
        <is>
          <t>change_corr</t>
        </is>
      </c>
      <c r="AC1" s="6" t="inlineStr">
        <is>
          <t>change_r_squared</t>
        </is>
      </c>
      <c r="AD1" s="6" t="inlineStr">
        <is>
          <t>change_beta_y_on_x</t>
        </is>
      </c>
      <c r="AE1" s="6" t="inlineStr">
        <is>
          <t>beta_adjusted_current_bp</t>
        </is>
      </c>
      <c r="AF1" s="6" t="inlineStr">
        <is>
          <t>beta_adjusted_percentile</t>
        </is>
      </c>
      <c r="AG1" s="6" t="inlineStr">
        <is>
          <t>beta_adjusted_zscore</t>
        </is>
      </c>
      <c r="AH1" s="6" t="inlineStr">
        <is>
          <t>inverse_id</t>
        </is>
      </c>
      <c r="AI1" s="6" t="inlineStr">
        <is>
          <t>hedge_quality</t>
        </is>
      </c>
    </row>
    <row r="2">
      <c r="A2" s="8" t="inlineStr">
        <is>
          <t>GB_BUILD_MINUS_GB_CUT</t>
        </is>
      </c>
      <c r="B2" s="8" t="inlineStr">
        <is>
          <t>SONIA buildup: U27 − Z26 minus SONIA reversal: U27 − Z28</t>
        </is>
      </c>
      <c r="C2" s="8" t="inlineStr">
        <is>
          <t>GB_BUILD − GB_CUT</t>
        </is>
      </c>
      <c r="D2" s="8" t="n">
        <v>141</v>
      </c>
      <c r="E2" s="10" t="n">
        <v>24.50000000000045</v>
      </c>
      <c r="F2" s="10" t="n">
        <v>40.50000000000011</v>
      </c>
      <c r="G2" s="10" t="n">
        <v>41.4999999999992</v>
      </c>
      <c r="H2" s="10" t="n">
        <v>0.9999999999990905</v>
      </c>
      <c r="I2" s="10" t="n">
        <v>16.99999999999875</v>
      </c>
      <c r="J2" s="10" t="n">
        <v>3.375886524822678</v>
      </c>
      <c r="K2" s="10" t="n">
        <v>4.000000000000625</v>
      </c>
      <c r="L2" s="10" t="n">
        <v>21.33651765906511</v>
      </c>
      <c r="M2" s="10" t="n">
        <v>1.786801111800874</v>
      </c>
      <c r="N2" s="10" t="n">
        <v>-44.49999999999932</v>
      </c>
      <c r="O2" s="8" t="inlineStr">
        <is>
          <t>2026-03-20</t>
        </is>
      </c>
      <c r="P2" s="10" t="n">
        <v>48.49999999999994</v>
      </c>
      <c r="Q2" s="8" t="inlineStr">
        <is>
          <t>2026-09-15</t>
        </is>
      </c>
      <c r="R2" s="10" t="n">
        <v>96.45390070921985</v>
      </c>
      <c r="S2" s="10" t="n">
        <v>3.546099290780148</v>
      </c>
      <c r="T2" s="10" t="n">
        <v>85.99999999999852</v>
      </c>
      <c r="U2" s="10" t="n">
        <v>7.000000000000739</v>
      </c>
      <c r="V2" s="10" t="n">
        <v>-7.000000000000739</v>
      </c>
      <c r="W2" s="10" t="n">
        <v>15.49999999999869</v>
      </c>
      <c r="X2" s="10" t="n">
        <v>4.970731395516351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38.12411347517653</v>
      </c>
      <c r="AB2" s="10" t="n">
        <v>-0.1512503549233468</v>
      </c>
      <c r="AC2" s="10" t="n">
        <v>0.02287666986443839</v>
      </c>
      <c r="AD2" s="10" t="n">
        <v>-0.1530997304581894</v>
      </c>
      <c r="AE2" s="10" t="n">
        <v>59.37304582210128</v>
      </c>
      <c r="AF2" s="10" t="n">
        <v>97.16312056737588</v>
      </c>
      <c r="AG2" s="10" t="n">
        <v>2.596416694343868</v>
      </c>
      <c r="AH2" s="8" t="inlineStr">
        <is>
          <t>GB_CUT_MINUS_GB_BUILD</t>
        </is>
      </c>
      <c r="AI2" s="8" t="inlineStr">
        <is>
          <t>LOW</t>
        </is>
      </c>
    </row>
    <row r="3">
      <c r="A3" s="7" t="inlineStr">
        <is>
          <t>GB_BUILD_MINUS_EU_BUILD</t>
        </is>
      </c>
      <c r="B3" s="7" t="inlineStr">
        <is>
          <t>SONIA buildup: U27 − Z26 minus Euribor buildup: U27 − Z26</t>
        </is>
      </c>
      <c r="C3" s="7" t="inlineStr">
        <is>
          <t>GB_BUILD − EU_BUILD</t>
        </is>
      </c>
      <c r="D3" s="7" t="n">
        <v>141</v>
      </c>
      <c r="E3" s="11" t="n">
        <v>-2.500000000000568</v>
      </c>
      <c r="F3" s="11" t="n">
        <v>9.499999999999886</v>
      </c>
      <c r="G3" s="11" t="n">
        <v>8.499999999999375</v>
      </c>
      <c r="H3" s="11" t="n">
        <v>-1.000000000000512</v>
      </c>
      <c r="I3" s="11" t="n">
        <v>10.99999999999994</v>
      </c>
      <c r="J3" s="11" t="n">
        <v>0.4148936170213229</v>
      </c>
      <c r="K3" s="11" t="n">
        <v>1.500000000000057</v>
      </c>
      <c r="L3" s="11" t="n">
        <v>6.218336205704359</v>
      </c>
      <c r="M3" s="11" t="n">
        <v>1.300204124627617</v>
      </c>
      <c r="N3" s="11" t="n">
        <v>-14.00000000000148</v>
      </c>
      <c r="O3" s="7" t="inlineStr">
        <is>
          <t>2026-03-19</t>
        </is>
      </c>
      <c r="P3" s="11" t="n">
        <v>10.5000000000004</v>
      </c>
      <c r="Q3" s="7" t="inlineStr">
        <is>
          <t>2026-09-10</t>
        </is>
      </c>
      <c r="R3" s="11" t="n">
        <v>90.78014184397163</v>
      </c>
      <c r="S3" s="11" t="n">
        <v>9.219858156028366</v>
      </c>
      <c r="T3" s="11" t="n">
        <v>22.50000000000085</v>
      </c>
      <c r="U3" s="11" t="n">
        <v>2.000000000001023</v>
      </c>
      <c r="V3" s="11" t="n">
        <v>0.5000000000009663</v>
      </c>
      <c r="W3" s="11" t="n">
        <v>-0.5000000000023874</v>
      </c>
      <c r="X3" s="11" t="n">
        <v>1.943696164279298</v>
      </c>
      <c r="Y3" s="19" t="inlineStr">
        <is>
          <t>WATCH HIGH</t>
        </is>
      </c>
      <c r="Z3" s="7" t="inlineStr">
        <is>
          <t>Lean SHORT</t>
        </is>
      </c>
      <c r="AA3" s="11" t="n">
        <v>8.085106382978053</v>
      </c>
      <c r="AB3" s="11" t="n">
        <v>0.8240612891904721</v>
      </c>
      <c r="AC3" s="11" t="n">
        <v>0.6790770083422628</v>
      </c>
      <c r="AD3" s="11" t="n">
        <v>1.115742044494521</v>
      </c>
      <c r="AE3" s="11" t="n">
        <v>2.886510842015113</v>
      </c>
      <c r="AF3" s="11" t="n">
        <v>74.46808510638297</v>
      </c>
      <c r="AG3" s="11" t="n">
        <v>0.6792744472913824</v>
      </c>
      <c r="AH3" s="7" t="inlineStr">
        <is>
          <t>EU_BUILD_MINUS_GB_BUILD</t>
        </is>
      </c>
      <c r="AI3" s="7" t="inlineStr">
        <is>
          <t>HIGH</t>
        </is>
      </c>
    </row>
    <row r="4">
      <c r="A4" s="8" t="inlineStr">
        <is>
          <t>GB_BUILD_MINUS_EU_CUT</t>
        </is>
      </c>
      <c r="B4" s="8" t="inlineStr">
        <is>
          <t>SONIA buildup: U27 − Z26 minus Euribor reversal: U27 − Z28</t>
        </is>
      </c>
      <c r="C4" s="8" t="inlineStr">
        <is>
          <t>GB_BUILD − EU_CUT</t>
        </is>
      </c>
      <c r="D4" s="8" t="n">
        <v>141</v>
      </c>
      <c r="E4" s="10" t="n">
        <v>26.9999999999996</v>
      </c>
      <c r="F4" s="10" t="n">
        <v>43.49999999999881</v>
      </c>
      <c r="G4" s="10" t="n">
        <v>43.50000000000023</v>
      </c>
      <c r="H4" s="10" t="n">
        <v>1.4210854715202e-12</v>
      </c>
      <c r="I4" s="10" t="n">
        <v>16.50000000000063</v>
      </c>
      <c r="J4" s="10" t="n">
        <v>8.095744680851038</v>
      </c>
      <c r="K4" s="10" t="n">
        <v>6.499999999999773</v>
      </c>
      <c r="L4" s="10" t="n">
        <v>17.10951227634341</v>
      </c>
      <c r="M4" s="10" t="n">
        <v>2.069273205882153</v>
      </c>
      <c r="N4" s="10" t="n">
        <v>-23.0000000000004</v>
      </c>
      <c r="O4" s="8" t="inlineStr">
        <is>
          <t>2026-03-19</t>
        </is>
      </c>
      <c r="P4" s="10" t="n">
        <v>50.00000000000009</v>
      </c>
      <c r="Q4" s="8" t="inlineStr">
        <is>
          <t>2026-09-18</t>
        </is>
      </c>
      <c r="R4" s="10" t="n">
        <v>97.87234042553192</v>
      </c>
      <c r="S4" s="10" t="n">
        <v>2.127659574468083</v>
      </c>
      <c r="T4" s="10" t="n">
        <v>66.50000000000063</v>
      </c>
      <c r="U4" s="10" t="n">
        <v>6.499999999999858</v>
      </c>
      <c r="V4" s="10" t="n">
        <v>-3.499999999998238</v>
      </c>
      <c r="W4" s="10" t="n">
        <v>17.99999999999926</v>
      </c>
      <c r="X4" s="10" t="n">
        <v>4.369865214607144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35.40425531914919</v>
      </c>
      <c r="AB4" s="10" t="n">
        <v>-0.01371723175966891</v>
      </c>
      <c r="AC4" s="10" t="n">
        <v>0.0001881624471484693</v>
      </c>
      <c r="AD4" s="10" t="n">
        <v>-0.005114466634178157</v>
      </c>
      <c r="AE4" s="10" t="n">
        <v>57.06904529956072</v>
      </c>
      <c r="AF4" s="10" t="n">
        <v>97.16312056737588</v>
      </c>
      <c r="AG4" s="10" t="n">
        <v>2.50773232362842</v>
      </c>
      <c r="AH4" s="8" t="inlineStr">
        <is>
          <t>EU_CUT_MINUS_GB_BUILD</t>
        </is>
      </c>
      <c r="AI4" s="8" t="inlineStr">
        <is>
          <t>LOW</t>
        </is>
      </c>
    </row>
    <row r="5">
      <c r="A5" s="7" t="inlineStr">
        <is>
          <t>GB_CUT_MINUS_GB_BUILD</t>
        </is>
      </c>
      <c r="B5" s="7" t="inlineStr">
        <is>
          <t>SONIA reversal: U27 − Z28 minus SONIA buildup: U27 − Z26</t>
        </is>
      </c>
      <c r="C5" s="7" t="inlineStr">
        <is>
          <t>GB_CUT − GB_BUILD</t>
        </is>
      </c>
      <c r="D5" s="7" t="n">
        <v>141</v>
      </c>
      <c r="E5" s="11" t="n">
        <v>-24.50000000000045</v>
      </c>
      <c r="F5" s="11" t="n">
        <v>-40.50000000000011</v>
      </c>
      <c r="G5" s="11" t="n">
        <v>-41.4999999999992</v>
      </c>
      <c r="H5" s="11" t="n">
        <v>-0.9999999999990905</v>
      </c>
      <c r="I5" s="11" t="n">
        <v>-16.99999999999875</v>
      </c>
      <c r="J5" s="11" t="n">
        <v>-3.375886524822678</v>
      </c>
      <c r="K5" s="11" t="n">
        <v>-4.000000000000625</v>
      </c>
      <c r="L5" s="11" t="n">
        <v>21.33651765906511</v>
      </c>
      <c r="M5" s="11" t="n">
        <v>-1.786801111800874</v>
      </c>
      <c r="N5" s="11" t="n">
        <v>-48.49999999999994</v>
      </c>
      <c r="O5" s="7" t="inlineStr">
        <is>
          <t>2026-09-15</t>
        </is>
      </c>
      <c r="P5" s="11" t="n">
        <v>44.49999999999932</v>
      </c>
      <c r="Q5" s="7" t="inlineStr">
        <is>
          <t>2026-03-20</t>
        </is>
      </c>
      <c r="R5" s="11" t="n">
        <v>4.25531914893617</v>
      </c>
      <c r="S5" s="11" t="n">
        <v>4.25531914893617</v>
      </c>
      <c r="T5" s="11" t="n">
        <v>7.000000000000739</v>
      </c>
      <c r="U5" s="11" t="n">
        <v>85.99999999999852</v>
      </c>
      <c r="V5" s="11" t="n">
        <v>7.000000000000739</v>
      </c>
      <c r="W5" s="11" t="n">
        <v>-15.49999999999869</v>
      </c>
      <c r="X5" s="11" t="n">
        <v>4.970731395516351</v>
      </c>
      <c r="Y5" s="18" t="inlineStr">
        <is>
          <t>EXTREME LOW</t>
        </is>
      </c>
      <c r="Z5" s="7" t="inlineStr">
        <is>
          <t>LONG level / pay positive-rate weights</t>
        </is>
      </c>
      <c r="AA5" s="11" t="n">
        <v>38.12411347517653</v>
      </c>
      <c r="AB5" s="11" t="n">
        <v>-0.1512503549233468</v>
      </c>
      <c r="AC5" s="11" t="n">
        <v>0.02287666986443838</v>
      </c>
      <c r="AD5" s="11" t="n">
        <v>-0.1315423807317986</v>
      </c>
      <c r="AE5" s="11" t="n">
        <v>22.99791570171255</v>
      </c>
      <c r="AF5" s="11" t="n">
        <v>97.87234042553192</v>
      </c>
      <c r="AG5" s="11" t="n">
        <v>1.972924371593113</v>
      </c>
      <c r="AH5" s="7" t="inlineStr">
        <is>
          <t>GB_BUILD_MINUS_GB_CUT</t>
        </is>
      </c>
      <c r="AI5" s="7" t="inlineStr">
        <is>
          <t>LOW</t>
        </is>
      </c>
    </row>
    <row r="6">
      <c r="A6" s="8" t="inlineStr">
        <is>
          <t>GB_CUT_MINUS_EU_BUILD</t>
        </is>
      </c>
      <c r="B6" s="8" t="inlineStr">
        <is>
          <t>SONIA reversal: U27 − Z28 minus Euribor buildup: U27 − Z26</t>
        </is>
      </c>
      <c r="C6" s="8" t="inlineStr">
        <is>
          <t>GB_CUT − EU_BUILD</t>
        </is>
      </c>
      <c r="D6" s="8" t="n">
        <v>141</v>
      </c>
      <c r="E6" s="10" t="n">
        <v>-27.00000000000102</v>
      </c>
      <c r="F6" s="10" t="n">
        <v>-31.00000000000023</v>
      </c>
      <c r="G6" s="10" t="n">
        <v>-32.99999999999983</v>
      </c>
      <c r="H6" s="10" t="n">
        <v>-1.999999999999602</v>
      </c>
      <c r="I6" s="10" t="n">
        <v>-5.999999999998806</v>
      </c>
      <c r="J6" s="10" t="n">
        <v>-2.960992907801356</v>
      </c>
      <c r="K6" s="10" t="n">
        <v>-3.499999999999659</v>
      </c>
      <c r="L6" s="10" t="n">
        <v>16.4633869673181</v>
      </c>
      <c r="M6" s="10" t="n">
        <v>-1.824594608134382</v>
      </c>
      <c r="N6" s="10" t="n">
        <v>-40.50000000000153</v>
      </c>
      <c r="O6" s="8" t="inlineStr">
        <is>
          <t>2026-09-15</t>
        </is>
      </c>
      <c r="P6" s="10" t="n">
        <v>32.99999999999983</v>
      </c>
      <c r="Q6" s="8" t="inlineStr">
        <is>
          <t>2026-03-20</t>
        </is>
      </c>
      <c r="R6" s="10" t="n">
        <v>5.673758865248227</v>
      </c>
      <c r="S6" s="10" t="n">
        <v>5.673758865248227</v>
      </c>
      <c r="T6" s="10" t="n">
        <v>7.500000000001705</v>
      </c>
      <c r="U6" s="10" t="n">
        <v>65.99999999999966</v>
      </c>
      <c r="V6" s="10" t="n">
        <v>7.500000000001705</v>
      </c>
      <c r="W6" s="10" t="n">
        <v>-16.00000000000108</v>
      </c>
      <c r="X6" s="10" t="n">
        <v>4.278726746284827</v>
      </c>
      <c r="Y6" s="19" t="inlineStr">
        <is>
          <t>WATCH LOW</t>
        </is>
      </c>
      <c r="Z6" s="8" t="inlineStr">
        <is>
          <t>Lean LONG</t>
        </is>
      </c>
      <c r="AA6" s="10" t="n">
        <v>30.03900709219847</v>
      </c>
      <c r="AB6" s="10" t="n">
        <v>-0.1293653658515462</v>
      </c>
      <c r="AC6" s="10" t="n">
        <v>0.0167353978819044</v>
      </c>
      <c r="AD6" s="10" t="n">
        <v>-0.1498169529709932</v>
      </c>
      <c r="AE6" s="10" t="n">
        <v>22.76612221909327</v>
      </c>
      <c r="AF6" s="10" t="n">
        <v>97.87234042553192</v>
      </c>
      <c r="AG6" s="10" t="n">
        <v>1.918595491674938</v>
      </c>
      <c r="AH6" s="8" t="inlineStr">
        <is>
          <t>EU_BUILD_MINUS_GB_CUT</t>
        </is>
      </c>
      <c r="AI6" s="8" t="inlineStr">
        <is>
          <t>LOW</t>
        </is>
      </c>
    </row>
    <row r="7">
      <c r="A7" s="7" t="inlineStr">
        <is>
          <t>GB_CUT_MINUS_EU_CUT</t>
        </is>
      </c>
      <c r="B7" s="7" t="inlineStr">
        <is>
          <t>SONIA reversal: U27 − Z28 minus Euribor reversal: U27 − Z28</t>
        </is>
      </c>
      <c r="C7" s="7" t="inlineStr">
        <is>
          <t>GB_CUT − EU_CUT</t>
        </is>
      </c>
      <c r="D7" s="7" t="n">
        <v>141</v>
      </c>
      <c r="E7" s="11" t="n">
        <v>2.499999999999147</v>
      </c>
      <c r="F7" s="11" t="n">
        <v>2.999999999998693</v>
      </c>
      <c r="G7" s="11" t="n">
        <v>2.000000000001023</v>
      </c>
      <c r="H7" s="11" t="n">
        <v>-0.9999999999976694</v>
      </c>
      <c r="I7" s="11" t="n">
        <v>-0.4999999999981242</v>
      </c>
      <c r="J7" s="11" t="n">
        <v>4.719858156028359</v>
      </c>
      <c r="K7" s="11" t="n">
        <v>3.000000000000114</v>
      </c>
      <c r="L7" s="11" t="n">
        <v>5.315868694741793</v>
      </c>
      <c r="M7" s="11" t="n">
        <v>-0.5116488597089864</v>
      </c>
      <c r="N7" s="11" t="n">
        <v>-3.000000000000114</v>
      </c>
      <c r="O7" s="7" t="inlineStr">
        <is>
          <t>2026-09-10</t>
        </is>
      </c>
      <c r="P7" s="11" t="n">
        <v>21.99999999999993</v>
      </c>
      <c r="Q7" s="7" t="inlineStr">
        <is>
          <t>2026-03-20</t>
        </is>
      </c>
      <c r="R7" s="11" t="n">
        <v>45.39007092198582</v>
      </c>
      <c r="S7" s="11" t="n">
        <v>45.39007092198582</v>
      </c>
      <c r="T7" s="11" t="n">
        <v>5.000000000001137</v>
      </c>
      <c r="U7" s="11" t="n">
        <v>19.99999999999891</v>
      </c>
      <c r="V7" s="11" t="n">
        <v>3.500000000002501</v>
      </c>
      <c r="W7" s="11" t="n">
        <v>2.500000000000568</v>
      </c>
      <c r="X7" s="11" t="n">
        <v>1.960487779352547</v>
      </c>
      <c r="Y7" s="7" t="inlineStr">
        <is>
          <t>NEUTRAL</t>
        </is>
      </c>
      <c r="Z7" s="7" t="inlineStr">
        <is>
          <t>No tail signal</t>
        </is>
      </c>
      <c r="AA7" s="11" t="n">
        <v>2.719858156027336</v>
      </c>
      <c r="AB7" s="11" t="n">
        <v>0.7866725311684146</v>
      </c>
      <c r="AC7" s="11" t="n">
        <v>0.6188536712949203</v>
      </c>
      <c r="AD7" s="11" t="n">
        <v>0.9174378957623146</v>
      </c>
      <c r="AE7" s="11" t="n">
        <v>3.1145884072097</v>
      </c>
      <c r="AF7" s="11" t="n">
        <v>49.64539007092198</v>
      </c>
      <c r="AG7" s="11" t="n">
        <v>-0.3274121090617315</v>
      </c>
      <c r="AH7" s="7" t="inlineStr">
        <is>
          <t>EU_CUT_MINUS_GB_CUT</t>
        </is>
      </c>
      <c r="AI7" s="7" t="inlineStr">
        <is>
          <t>HIGH</t>
        </is>
      </c>
    </row>
    <row r="8">
      <c r="A8" s="8" t="inlineStr">
        <is>
          <t>EU_BUILD_MINUS_GB_BUILD</t>
        </is>
      </c>
      <c r="B8" s="8" t="inlineStr">
        <is>
          <t>Euribor buildup: U27 − Z26 minus SONIA buildup: U27 − Z26</t>
        </is>
      </c>
      <c r="C8" s="8" t="inlineStr">
        <is>
          <t>EU_BUILD − GB_BUILD</t>
        </is>
      </c>
      <c r="D8" s="8" t="n">
        <v>141</v>
      </c>
      <c r="E8" s="10" t="n">
        <v>2.500000000000568</v>
      </c>
      <c r="F8" s="10" t="n">
        <v>-9.499999999999886</v>
      </c>
      <c r="G8" s="10" t="n">
        <v>-8.499999999999375</v>
      </c>
      <c r="H8" s="10" t="n">
        <v>1.000000000000512</v>
      </c>
      <c r="I8" s="10" t="n">
        <v>-10.99999999999994</v>
      </c>
      <c r="J8" s="10" t="n">
        <v>-0.4148936170213229</v>
      </c>
      <c r="K8" s="10" t="n">
        <v>-1.500000000000057</v>
      </c>
      <c r="L8" s="10" t="n">
        <v>6.218336205704359</v>
      </c>
      <c r="M8" s="10" t="n">
        <v>-1.300204124627617</v>
      </c>
      <c r="N8" s="10" t="n">
        <v>-10.5000000000004</v>
      </c>
      <c r="O8" s="8" t="inlineStr">
        <is>
          <t>2026-09-10</t>
        </is>
      </c>
      <c r="P8" s="10" t="n">
        <v>14.00000000000148</v>
      </c>
      <c r="Q8" s="8" t="inlineStr">
        <is>
          <t>2026-03-19</t>
        </is>
      </c>
      <c r="R8" s="10" t="n">
        <v>9.929078014184398</v>
      </c>
      <c r="S8" s="10" t="n">
        <v>9.929078014184398</v>
      </c>
      <c r="T8" s="10" t="n">
        <v>2.000000000001023</v>
      </c>
      <c r="U8" s="10" t="n">
        <v>22.50000000000085</v>
      </c>
      <c r="V8" s="10" t="n">
        <v>-0.5000000000009663</v>
      </c>
      <c r="W8" s="10" t="n">
        <v>0.5000000000023874</v>
      </c>
      <c r="X8" s="10" t="n">
        <v>1.943696164279298</v>
      </c>
      <c r="Y8" s="19" t="inlineStr">
        <is>
          <t>WATCH LOW</t>
        </is>
      </c>
      <c r="Z8" s="8" t="inlineStr">
        <is>
          <t>Lean LONG</t>
        </is>
      </c>
      <c r="AA8" s="10" t="n">
        <v>8.085106382978053</v>
      </c>
      <c r="AB8" s="10" t="n">
        <v>0.8240612891904722</v>
      </c>
      <c r="AC8" s="10" t="n">
        <v>0.679077008342263</v>
      </c>
      <c r="AD8" s="10" t="n">
        <v>0.611702948896077</v>
      </c>
      <c r="AE8" s="10" t="n">
        <v>13.63293191292397</v>
      </c>
      <c r="AF8" s="10" t="n">
        <v>96.45390070921985</v>
      </c>
      <c r="AG8" s="10" t="n">
        <v>2.720432390376077</v>
      </c>
      <c r="AH8" s="8" t="inlineStr">
        <is>
          <t>GB_BUILD_MINUS_EU_BUILD</t>
        </is>
      </c>
      <c r="AI8" s="8" t="inlineStr">
        <is>
          <t>HIGH</t>
        </is>
      </c>
    </row>
    <row r="9">
      <c r="A9" s="7" t="inlineStr">
        <is>
          <t>EU_BUILD_MINUS_GB_CUT</t>
        </is>
      </c>
      <c r="B9" s="7" t="inlineStr">
        <is>
          <t>Euribor buildup: U27 − Z26 minus SONIA reversal: U27 − Z28</t>
        </is>
      </c>
      <c r="C9" s="7" t="inlineStr">
        <is>
          <t>EU_BUILD − GB_CUT</t>
        </is>
      </c>
      <c r="D9" s="7" t="n">
        <v>141</v>
      </c>
      <c r="E9" s="11" t="n">
        <v>27.00000000000102</v>
      </c>
      <c r="F9" s="11" t="n">
        <v>31.00000000000023</v>
      </c>
      <c r="G9" s="11" t="n">
        <v>32.99999999999983</v>
      </c>
      <c r="H9" s="11" t="n">
        <v>1.999999999999602</v>
      </c>
      <c r="I9" s="11" t="n">
        <v>5.999999999998806</v>
      </c>
      <c r="J9" s="11" t="n">
        <v>2.960992907801356</v>
      </c>
      <c r="K9" s="11" t="n">
        <v>3.499999999999659</v>
      </c>
      <c r="L9" s="11" t="n">
        <v>16.4633869673181</v>
      </c>
      <c r="M9" s="11" t="n">
        <v>1.824594608134382</v>
      </c>
      <c r="N9" s="11" t="n">
        <v>-32.99999999999983</v>
      </c>
      <c r="O9" s="7" t="inlineStr">
        <is>
          <t>2026-03-20</t>
        </is>
      </c>
      <c r="P9" s="11" t="n">
        <v>40.50000000000153</v>
      </c>
      <c r="Q9" s="7" t="inlineStr">
        <is>
          <t>2026-09-15</t>
        </is>
      </c>
      <c r="R9" s="11" t="n">
        <v>95.0354609929078</v>
      </c>
      <c r="S9" s="11" t="n">
        <v>4.964539007092199</v>
      </c>
      <c r="T9" s="11" t="n">
        <v>65.99999999999966</v>
      </c>
      <c r="U9" s="11" t="n">
        <v>7.500000000001705</v>
      </c>
      <c r="V9" s="11" t="n">
        <v>-7.500000000001705</v>
      </c>
      <c r="W9" s="11" t="n">
        <v>16.00000000000108</v>
      </c>
      <c r="X9" s="11" t="n">
        <v>4.278726746284827</v>
      </c>
      <c r="Y9" s="18" t="inlineStr">
        <is>
          <t>EXTREME HIGH</t>
        </is>
      </c>
      <c r="Z9" s="7" t="inlineStr">
        <is>
          <t>SHORT level / receive positive-rate weights</t>
        </is>
      </c>
      <c r="AA9" s="11" t="n">
        <v>30.03900709219847</v>
      </c>
      <c r="AB9" s="11" t="n">
        <v>-0.1293653658515462</v>
      </c>
      <c r="AC9" s="11" t="n">
        <v>0.0167353978819044</v>
      </c>
      <c r="AD9" s="11" t="n">
        <v>-0.0955974842767213</v>
      </c>
      <c r="AE9" s="11" t="n">
        <v>49.98176100628913</v>
      </c>
      <c r="AF9" s="11" t="n">
        <v>97.87234042553192</v>
      </c>
      <c r="AG9" s="11" t="n">
        <v>2.884122351031065</v>
      </c>
      <c r="AH9" s="7" t="inlineStr">
        <is>
          <t>GB_CUT_MINUS_EU_BUILD</t>
        </is>
      </c>
      <c r="AI9" s="7" t="inlineStr">
        <is>
          <t>LOW</t>
        </is>
      </c>
    </row>
    <row r="10">
      <c r="A10" s="8" t="inlineStr">
        <is>
          <t>EU_BUILD_MINUS_EU_CUT</t>
        </is>
      </c>
      <c r="B10" s="8" t="inlineStr">
        <is>
          <t>Euribor buildup: U27 − Z26 minus Euribor reversal: U27 − Z28</t>
        </is>
      </c>
      <c r="C10" s="8" t="inlineStr">
        <is>
          <t>EU_BUILD − EU_CUT</t>
        </is>
      </c>
      <c r="D10" s="8" t="n">
        <v>141</v>
      </c>
      <c r="E10" s="10" t="n">
        <v>29.50000000000017</v>
      </c>
      <c r="F10" s="10" t="n">
        <v>33.99999999999892</v>
      </c>
      <c r="G10" s="10" t="n">
        <v>35.00000000000085</v>
      </c>
      <c r="H10" s="10" t="n">
        <v>1.000000000001933</v>
      </c>
      <c r="I10" s="10" t="n">
        <v>5.500000000000682</v>
      </c>
      <c r="J10" s="10" t="n">
        <v>7.680851063829716</v>
      </c>
      <c r="K10" s="10" t="n">
        <v>6.499999999999773</v>
      </c>
      <c r="L10" s="10" t="n">
        <v>12.74660691485952</v>
      </c>
      <c r="M10" s="10" t="n">
        <v>2.143248718552972</v>
      </c>
      <c r="N10" s="10" t="n">
        <v>-12.5</v>
      </c>
      <c r="O10" s="8" t="inlineStr">
        <is>
          <t>2026-05-05</t>
        </is>
      </c>
      <c r="P10" s="10" t="n">
        <v>40.50000000000011</v>
      </c>
      <c r="Q10" s="8" t="inlineStr">
        <is>
          <t>2026-09-18</t>
        </is>
      </c>
      <c r="R10" s="10" t="n">
        <v>97.16312056737588</v>
      </c>
      <c r="S10" s="10" t="n">
        <v>2.836879432624116</v>
      </c>
      <c r="T10" s="10" t="n">
        <v>47.50000000000085</v>
      </c>
      <c r="U10" s="10" t="n">
        <v>5.499999999999261</v>
      </c>
      <c r="V10" s="10" t="n">
        <v>-3.999999999999204</v>
      </c>
      <c r="W10" s="10" t="n">
        <v>18.50000000000165</v>
      </c>
      <c r="X10" s="10" t="n">
        <v>3.604088334591107</v>
      </c>
      <c r="Y10" s="18" t="inlineStr">
        <is>
          <t>EXTREME HIGH</t>
        </is>
      </c>
      <c r="Z10" s="8" t="inlineStr">
        <is>
          <t>SHORT level / receive positive-rate weights</t>
        </is>
      </c>
      <c r="AA10" s="10" t="n">
        <v>27.31914893617114</v>
      </c>
      <c r="AB10" s="10" t="n">
        <v>0.04726756034740662</v>
      </c>
      <c r="AC10" s="10" t="n">
        <v>0.002234222261195727</v>
      </c>
      <c r="AD10" s="10" t="n">
        <v>0.05284948855332053</v>
      </c>
      <c r="AE10" s="10" t="n">
        <v>47.78653190453016</v>
      </c>
      <c r="AF10" s="10" t="n">
        <v>97.87234042553192</v>
      </c>
      <c r="AG10" s="10" t="n">
        <v>2.797397295366117</v>
      </c>
      <c r="AH10" s="8" t="inlineStr">
        <is>
          <t>EU_CUT_MINUS_EU_BUILD</t>
        </is>
      </c>
      <c r="AI10" s="8" t="inlineStr">
        <is>
          <t>LOW</t>
        </is>
      </c>
    </row>
    <row r="11">
      <c r="A11" s="7" t="inlineStr">
        <is>
          <t>EU_CUT_MINUS_GB_BUILD</t>
        </is>
      </c>
      <c r="B11" s="7" t="inlineStr">
        <is>
          <t>Euribor reversal: U27 − Z28 minus SONIA buildup: U27 − Z26</t>
        </is>
      </c>
      <c r="C11" s="7" t="inlineStr">
        <is>
          <t>EU_CUT − GB_BUILD</t>
        </is>
      </c>
      <c r="D11" s="7" t="n">
        <v>141</v>
      </c>
      <c r="E11" s="11" t="n">
        <v>-26.9999999999996</v>
      </c>
      <c r="F11" s="11" t="n">
        <v>-43.49999999999881</v>
      </c>
      <c r="G11" s="11" t="n">
        <v>-43.50000000000023</v>
      </c>
      <c r="H11" s="11" t="n">
        <v>-1.4210854715202e-12</v>
      </c>
      <c r="I11" s="11" t="n">
        <v>-16.50000000000063</v>
      </c>
      <c r="J11" s="11" t="n">
        <v>-8.095744680851038</v>
      </c>
      <c r="K11" s="11" t="n">
        <v>-6.499999999999773</v>
      </c>
      <c r="L11" s="11" t="n">
        <v>17.10951227634341</v>
      </c>
      <c r="M11" s="11" t="n">
        <v>-2.069273205882153</v>
      </c>
      <c r="N11" s="11" t="n">
        <v>-50.00000000000009</v>
      </c>
      <c r="O11" s="7" t="inlineStr">
        <is>
          <t>2026-09-18</t>
        </is>
      </c>
      <c r="P11" s="11" t="n">
        <v>23.0000000000004</v>
      </c>
      <c r="Q11" s="7" t="inlineStr">
        <is>
          <t>2026-03-19</t>
        </is>
      </c>
      <c r="R11" s="11" t="n">
        <v>2.836879432624114</v>
      </c>
      <c r="S11" s="11" t="n">
        <v>2.836879432624114</v>
      </c>
      <c r="T11" s="11" t="n">
        <v>6.499999999999858</v>
      </c>
      <c r="U11" s="11" t="n">
        <v>66.50000000000063</v>
      </c>
      <c r="V11" s="11" t="n">
        <v>3.499999999998238</v>
      </c>
      <c r="W11" s="11" t="n">
        <v>-17.99999999999926</v>
      </c>
      <c r="X11" s="11" t="n">
        <v>4.369865214607144</v>
      </c>
      <c r="Y11" s="18" t="inlineStr">
        <is>
          <t>EXTREME LOW</t>
        </is>
      </c>
      <c r="Z11" s="7" t="inlineStr">
        <is>
          <t>LONG level / pay positive-rate weights</t>
        </is>
      </c>
      <c r="AA11" s="11" t="n">
        <v>35.40425531914919</v>
      </c>
      <c r="AB11" s="11" t="n">
        <v>-0.01371723175966891</v>
      </c>
      <c r="AC11" s="11" t="n">
        <v>0.0001881624471484693</v>
      </c>
      <c r="AD11" s="11" t="n">
        <v>-0.003242241778591379</v>
      </c>
      <c r="AE11" s="11" t="n">
        <v>13.6848077813788</v>
      </c>
      <c r="AF11" s="11" t="n">
        <v>98.58156028368793</v>
      </c>
      <c r="AG11" s="11" t="n">
        <v>1.838809446760402</v>
      </c>
      <c r="AH11" s="7" t="inlineStr">
        <is>
          <t>GB_BUILD_MINUS_EU_CUT</t>
        </is>
      </c>
      <c r="AI11" s="7" t="inlineStr">
        <is>
          <t>LOW</t>
        </is>
      </c>
    </row>
    <row r="12">
      <c r="A12" s="8" t="inlineStr">
        <is>
          <t>EU_CUT_MINUS_GB_CUT</t>
        </is>
      </c>
      <c r="B12" s="8" t="inlineStr">
        <is>
          <t>Euribor reversal: U27 − Z28 minus SONIA reversal: U27 − Z28</t>
        </is>
      </c>
      <c r="C12" s="8" t="inlineStr">
        <is>
          <t>EU_CUT − GB_CUT</t>
        </is>
      </c>
      <c r="D12" s="8" t="n">
        <v>141</v>
      </c>
      <c r="E12" s="10" t="n">
        <v>-2.499999999999147</v>
      </c>
      <c r="F12" s="10" t="n">
        <v>-2.999999999998693</v>
      </c>
      <c r="G12" s="10" t="n">
        <v>-2.000000000001023</v>
      </c>
      <c r="H12" s="10" t="n">
        <v>0.9999999999976694</v>
      </c>
      <c r="I12" s="10" t="n">
        <v>0.4999999999981242</v>
      </c>
      <c r="J12" s="10" t="n">
        <v>-4.719858156028359</v>
      </c>
      <c r="K12" s="10" t="n">
        <v>-3.000000000000114</v>
      </c>
      <c r="L12" s="10" t="n">
        <v>5.315868694741793</v>
      </c>
      <c r="M12" s="10" t="n">
        <v>0.5116488597089864</v>
      </c>
      <c r="N12" s="10" t="n">
        <v>-21.99999999999993</v>
      </c>
      <c r="O12" s="8" t="inlineStr">
        <is>
          <t>2026-03-20</t>
        </is>
      </c>
      <c r="P12" s="10" t="n">
        <v>3.000000000000114</v>
      </c>
      <c r="Q12" s="8" t="inlineStr">
        <is>
          <t>2026-09-10</t>
        </is>
      </c>
      <c r="R12" s="10" t="n">
        <v>57.44680851063831</v>
      </c>
      <c r="S12" s="10" t="n">
        <v>42.55319148936169</v>
      </c>
      <c r="T12" s="10" t="n">
        <v>19.99999999999891</v>
      </c>
      <c r="U12" s="10" t="n">
        <v>5.000000000001137</v>
      </c>
      <c r="V12" s="10" t="n">
        <v>-3.500000000002501</v>
      </c>
      <c r="W12" s="10" t="n">
        <v>-2.500000000000568</v>
      </c>
      <c r="X12" s="10" t="n">
        <v>1.960487779352547</v>
      </c>
      <c r="Y12" s="8" t="inlineStr">
        <is>
          <t>NEUTRAL</t>
        </is>
      </c>
      <c r="Z12" s="8" t="inlineStr">
        <is>
          <t>No tail signal</t>
        </is>
      </c>
      <c r="AA12" s="10" t="n">
        <v>2.719858156027336</v>
      </c>
      <c r="AB12" s="10" t="n">
        <v>0.7866725311684146</v>
      </c>
      <c r="AC12" s="10" t="n">
        <v>0.6188536712949203</v>
      </c>
      <c r="AD12" s="10" t="n">
        <v>0.6769092542677554</v>
      </c>
      <c r="AE12" s="10" t="n">
        <v>3.007906558848806</v>
      </c>
      <c r="AF12" s="10" t="n">
        <v>95.0354609929078</v>
      </c>
      <c r="AG12" s="10" t="n">
        <v>1.285979248280599</v>
      </c>
      <c r="AH12" s="8" t="inlineStr">
        <is>
          <t>GB_CUT_MINUS_EU_CUT</t>
        </is>
      </c>
      <c r="AI12" s="8" t="inlineStr">
        <is>
          <t>HIGH</t>
        </is>
      </c>
    </row>
    <row r="13">
      <c r="A13" s="7" t="inlineStr">
        <is>
          <t>EU_CUT_MINUS_EU_BUILD</t>
        </is>
      </c>
      <c r="B13" s="7" t="inlineStr">
        <is>
          <t>Euribor reversal: U27 − Z28 minus Euribor buildup: U27 − Z26</t>
        </is>
      </c>
      <c r="C13" s="7" t="inlineStr">
        <is>
          <t>EU_CUT − EU_BUILD</t>
        </is>
      </c>
      <c r="D13" s="7" t="n">
        <v>141</v>
      </c>
      <c r="E13" s="11" t="n">
        <v>-29.50000000000017</v>
      </c>
      <c r="F13" s="11" t="n">
        <v>-33.99999999999892</v>
      </c>
      <c r="G13" s="11" t="n">
        <v>-35.00000000000085</v>
      </c>
      <c r="H13" s="11" t="n">
        <v>-1.000000000001933</v>
      </c>
      <c r="I13" s="11" t="n">
        <v>-5.500000000000682</v>
      </c>
      <c r="J13" s="11" t="n">
        <v>-7.680851063829716</v>
      </c>
      <c r="K13" s="11" t="n">
        <v>-6.499999999999773</v>
      </c>
      <c r="L13" s="11" t="n">
        <v>12.74660691485952</v>
      </c>
      <c r="M13" s="11" t="n">
        <v>-2.143248718552972</v>
      </c>
      <c r="N13" s="11" t="n">
        <v>-40.50000000000011</v>
      </c>
      <c r="O13" s="7" t="inlineStr">
        <is>
          <t>2026-09-18</t>
        </is>
      </c>
      <c r="P13" s="11" t="n">
        <v>12.5</v>
      </c>
      <c r="Q13" s="7" t="inlineStr">
        <is>
          <t>2026-05-05</t>
        </is>
      </c>
      <c r="R13" s="11" t="n">
        <v>3.546099290780142</v>
      </c>
      <c r="S13" s="11" t="n">
        <v>3.546099290780142</v>
      </c>
      <c r="T13" s="11" t="n">
        <v>5.499999999999261</v>
      </c>
      <c r="U13" s="11" t="n">
        <v>47.50000000000085</v>
      </c>
      <c r="V13" s="11" t="n">
        <v>3.999999999999204</v>
      </c>
      <c r="W13" s="11" t="n">
        <v>-18.50000000000165</v>
      </c>
      <c r="X13" s="11" t="n">
        <v>3.604088334591107</v>
      </c>
      <c r="Y13" s="18" t="inlineStr">
        <is>
          <t>EXTREME LOW</t>
        </is>
      </c>
      <c r="Z13" s="7" t="inlineStr">
        <is>
          <t>LONG level / pay positive-rate weights</t>
        </is>
      </c>
      <c r="AA13" s="11" t="n">
        <v>27.31914893617114</v>
      </c>
      <c r="AB13" s="11" t="n">
        <v>0.04726756034740662</v>
      </c>
      <c r="AC13" s="11" t="n">
        <v>0.002234222261195727</v>
      </c>
      <c r="AD13" s="11" t="n">
        <v>0.06110954660657595</v>
      </c>
      <c r="AE13" s="11" t="n">
        <v>10.53618698958016</v>
      </c>
      <c r="AF13" s="11" t="n">
        <v>98.58156028368793</v>
      </c>
      <c r="AG13" s="11" t="n">
        <v>1.531587350856746</v>
      </c>
      <c r="AH13" s="7" t="inlineStr">
        <is>
          <t>EU_BUILD_MINUS_EU_CUT</t>
        </is>
      </c>
      <c r="AI13" s="7" t="inlineStr">
        <is>
          <t>LOW</t>
        </is>
      </c>
    </row>
  </sheetData>
  <autoFilter ref="A1:AI13"/>
  <conditionalFormatting sqref="R2:R1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3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C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  <col width="5" customWidth="1" min="4" max="4"/>
    <col width="21" customWidth="1" min="5" max="5"/>
    <col width="21" customWidth="1" min="6" max="6"/>
    <col width="20" customWidth="1" min="7" max="7"/>
    <col width="24" customWidth="1" min="8" max="8"/>
    <col width="23" customWidth="1" min="9" max="9"/>
    <col width="21" customWidth="1" min="10" max="10"/>
    <col width="20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19" customWidth="1" min="18" max="18"/>
    <col width="20" customWidth="1" min="19" max="19"/>
    <col width="20" customWidth="1" min="20" max="20"/>
    <col width="20" customWidth="1" min="21" max="21"/>
    <col width="20" customWidth="1" min="22" max="22"/>
    <col width="21" customWidth="1" min="23" max="23"/>
    <col width="20" customWidth="1" min="24" max="24"/>
    <col width="14" customWidth="1" min="25" max="25"/>
    <col width="45" customWidth="1" min="26" max="26"/>
    <col width="20" customWidth="1" min="27" max="27"/>
    <col width="23" customWidth="1" min="28" max="28"/>
    <col width="27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  <c r="AB1" s="6" t="inlineStr">
        <is>
          <t>change_corr</t>
        </is>
      </c>
      <c r="AC1" s="6" t="inlineStr">
        <is>
          <t>change_beta_left_on_right</t>
        </is>
      </c>
    </row>
    <row r="2">
      <c r="A2" s="8" t="inlineStr">
        <is>
          <t>GB_BUILD_MINUS_GB_CUT</t>
        </is>
      </c>
      <c r="B2" s="8" t="inlineStr">
        <is>
          <t>GB_BUILD − GB_CUT</t>
        </is>
      </c>
      <c r="C2" s="8" t="inlineStr">
        <is>
          <t>Unique pair difference: SONIA buildup: U27 − Z26 minus SONIA reversal: U27 − Z28</t>
        </is>
      </c>
      <c r="D2" s="8" t="n">
        <v>141</v>
      </c>
      <c r="E2" s="10" t="n">
        <v>24.50000000000045</v>
      </c>
      <c r="F2" s="10" t="n">
        <v>40.50000000000011</v>
      </c>
      <c r="G2" s="10" t="n">
        <v>41.4999999999992</v>
      </c>
      <c r="H2" s="10" t="n">
        <v>0.9999999999990905</v>
      </c>
      <c r="I2" s="10" t="n">
        <v>16.99999999999875</v>
      </c>
      <c r="J2" s="10" t="n">
        <v>3.375886524822678</v>
      </c>
      <c r="K2" s="10" t="n">
        <v>4.000000000000625</v>
      </c>
      <c r="L2" s="10" t="n">
        <v>21.33651765906511</v>
      </c>
      <c r="M2" s="10" t="n">
        <v>1.786801111800874</v>
      </c>
      <c r="N2" s="10" t="n">
        <v>-44.49999999999932</v>
      </c>
      <c r="O2" s="8" t="inlineStr">
        <is>
          <t>2026-03-20</t>
        </is>
      </c>
      <c r="P2" s="10" t="n">
        <v>48.49999999999994</v>
      </c>
      <c r="Q2" s="8" t="inlineStr">
        <is>
          <t>2026-09-15</t>
        </is>
      </c>
      <c r="R2" s="10" t="n">
        <v>96.45390070921985</v>
      </c>
      <c r="S2" s="10" t="n">
        <v>3.546099290780148</v>
      </c>
      <c r="T2" s="10" t="n">
        <v>85.99999999999852</v>
      </c>
      <c r="U2" s="10" t="n">
        <v>7.000000000000739</v>
      </c>
      <c r="V2" s="10" t="n">
        <v>-7.000000000000739</v>
      </c>
      <c r="W2" s="10" t="n">
        <v>15.49999999999869</v>
      </c>
      <c r="X2" s="10" t="n">
        <v>4.970731395516351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38.12411347517653</v>
      </c>
      <c r="AB2" s="10" t="n">
        <v>-0.1512503549233468</v>
      </c>
      <c r="AC2" s="10" t="n">
        <v>-0.1530997304581894</v>
      </c>
    </row>
    <row r="3">
      <c r="A3" s="7" t="inlineStr">
        <is>
          <t>GB_BUILD_MINUS_EU_BUILD</t>
        </is>
      </c>
      <c r="B3" s="7" t="inlineStr">
        <is>
          <t>GB_BUILD − EU_BUILD</t>
        </is>
      </c>
      <c r="C3" s="7" t="inlineStr">
        <is>
          <t>Unique pair difference: SONIA buildup: U27 − Z26 minus Euribor buildup: U27 − Z26</t>
        </is>
      </c>
      <c r="D3" s="7" t="n">
        <v>141</v>
      </c>
      <c r="E3" s="11" t="n">
        <v>-2.500000000000568</v>
      </c>
      <c r="F3" s="11" t="n">
        <v>9.499999999999886</v>
      </c>
      <c r="G3" s="11" t="n">
        <v>8.499999999999375</v>
      </c>
      <c r="H3" s="11" t="n">
        <v>-1.000000000000512</v>
      </c>
      <c r="I3" s="11" t="n">
        <v>10.99999999999994</v>
      </c>
      <c r="J3" s="11" t="n">
        <v>0.4148936170213229</v>
      </c>
      <c r="K3" s="11" t="n">
        <v>1.500000000000057</v>
      </c>
      <c r="L3" s="11" t="n">
        <v>6.218336205704359</v>
      </c>
      <c r="M3" s="11" t="n">
        <v>1.300204124627617</v>
      </c>
      <c r="N3" s="11" t="n">
        <v>-14.00000000000148</v>
      </c>
      <c r="O3" s="7" t="inlineStr">
        <is>
          <t>2026-03-19</t>
        </is>
      </c>
      <c r="P3" s="11" t="n">
        <v>10.5000000000004</v>
      </c>
      <c r="Q3" s="7" t="inlineStr">
        <is>
          <t>2026-09-10</t>
        </is>
      </c>
      <c r="R3" s="11" t="n">
        <v>90.78014184397163</v>
      </c>
      <c r="S3" s="11" t="n">
        <v>9.219858156028366</v>
      </c>
      <c r="T3" s="11" t="n">
        <v>22.50000000000085</v>
      </c>
      <c r="U3" s="11" t="n">
        <v>2.000000000001023</v>
      </c>
      <c r="V3" s="11" t="n">
        <v>0.5000000000009663</v>
      </c>
      <c r="W3" s="11" t="n">
        <v>-0.5000000000023874</v>
      </c>
      <c r="X3" s="11" t="n">
        <v>1.943696164279298</v>
      </c>
      <c r="Y3" s="19" t="inlineStr">
        <is>
          <t>WATCH HIGH</t>
        </is>
      </c>
      <c r="Z3" s="7" t="inlineStr">
        <is>
          <t>Lean SHORT</t>
        </is>
      </c>
      <c r="AA3" s="11" t="n">
        <v>8.085106382978053</v>
      </c>
      <c r="AB3" s="11" t="n">
        <v>0.8240612891904721</v>
      </c>
      <c r="AC3" s="11" t="n">
        <v>1.115742044494521</v>
      </c>
    </row>
    <row r="4">
      <c r="A4" s="8" t="inlineStr">
        <is>
          <t>GB_BUILD_MINUS_EU_CUT</t>
        </is>
      </c>
      <c r="B4" s="8" t="inlineStr">
        <is>
          <t>GB_BUILD − EU_CUT</t>
        </is>
      </c>
      <c r="C4" s="8" t="inlineStr">
        <is>
          <t>Unique pair difference: SONIA buildup: U27 − Z26 minus Euribor reversal: U27 − Z28</t>
        </is>
      </c>
      <c r="D4" s="8" t="n">
        <v>141</v>
      </c>
      <c r="E4" s="10" t="n">
        <v>26.9999999999996</v>
      </c>
      <c r="F4" s="10" t="n">
        <v>43.49999999999881</v>
      </c>
      <c r="G4" s="10" t="n">
        <v>43.50000000000023</v>
      </c>
      <c r="H4" s="10" t="n">
        <v>1.4210854715202e-12</v>
      </c>
      <c r="I4" s="10" t="n">
        <v>16.50000000000063</v>
      </c>
      <c r="J4" s="10" t="n">
        <v>8.095744680851038</v>
      </c>
      <c r="K4" s="10" t="n">
        <v>6.499999999999773</v>
      </c>
      <c r="L4" s="10" t="n">
        <v>17.10951227634341</v>
      </c>
      <c r="M4" s="10" t="n">
        <v>2.069273205882153</v>
      </c>
      <c r="N4" s="10" t="n">
        <v>-23.0000000000004</v>
      </c>
      <c r="O4" s="8" t="inlineStr">
        <is>
          <t>2026-03-19</t>
        </is>
      </c>
      <c r="P4" s="10" t="n">
        <v>50.00000000000009</v>
      </c>
      <c r="Q4" s="8" t="inlineStr">
        <is>
          <t>2026-09-18</t>
        </is>
      </c>
      <c r="R4" s="10" t="n">
        <v>97.87234042553192</v>
      </c>
      <c r="S4" s="10" t="n">
        <v>2.127659574468083</v>
      </c>
      <c r="T4" s="10" t="n">
        <v>66.50000000000063</v>
      </c>
      <c r="U4" s="10" t="n">
        <v>6.499999999999858</v>
      </c>
      <c r="V4" s="10" t="n">
        <v>-3.499999999998238</v>
      </c>
      <c r="W4" s="10" t="n">
        <v>17.99999999999926</v>
      </c>
      <c r="X4" s="10" t="n">
        <v>4.369865214607144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35.40425531914919</v>
      </c>
      <c r="AB4" s="10" t="n">
        <v>-0.01371723175966891</v>
      </c>
      <c r="AC4" s="10" t="n">
        <v>-0.005114466634178157</v>
      </c>
    </row>
    <row r="5">
      <c r="A5" s="7" t="inlineStr">
        <is>
          <t>GB_CUT_MINUS_EU_BUILD</t>
        </is>
      </c>
      <c r="B5" s="7" t="inlineStr">
        <is>
          <t>GB_CUT − EU_BUILD</t>
        </is>
      </c>
      <c r="C5" s="7" t="inlineStr">
        <is>
          <t>Unique pair difference: SONIA reversal: U27 − Z28 minus Euribor buildup: U27 − Z26</t>
        </is>
      </c>
      <c r="D5" s="7" t="n">
        <v>141</v>
      </c>
      <c r="E5" s="11" t="n">
        <v>-27.00000000000102</v>
      </c>
      <c r="F5" s="11" t="n">
        <v>-31.00000000000023</v>
      </c>
      <c r="G5" s="11" t="n">
        <v>-32.99999999999983</v>
      </c>
      <c r="H5" s="11" t="n">
        <v>-1.999999999999602</v>
      </c>
      <c r="I5" s="11" t="n">
        <v>-5.999999999998806</v>
      </c>
      <c r="J5" s="11" t="n">
        <v>-2.960992907801356</v>
      </c>
      <c r="K5" s="11" t="n">
        <v>-3.499999999999659</v>
      </c>
      <c r="L5" s="11" t="n">
        <v>16.4633869673181</v>
      </c>
      <c r="M5" s="11" t="n">
        <v>-1.824594608134382</v>
      </c>
      <c r="N5" s="11" t="n">
        <v>-40.50000000000153</v>
      </c>
      <c r="O5" s="7" t="inlineStr">
        <is>
          <t>2026-09-15</t>
        </is>
      </c>
      <c r="P5" s="11" t="n">
        <v>32.99999999999983</v>
      </c>
      <c r="Q5" s="7" t="inlineStr">
        <is>
          <t>2026-03-20</t>
        </is>
      </c>
      <c r="R5" s="11" t="n">
        <v>5.673758865248227</v>
      </c>
      <c r="S5" s="11" t="n">
        <v>5.673758865248227</v>
      </c>
      <c r="T5" s="11" t="n">
        <v>7.500000000001705</v>
      </c>
      <c r="U5" s="11" t="n">
        <v>65.99999999999966</v>
      </c>
      <c r="V5" s="11" t="n">
        <v>7.500000000001705</v>
      </c>
      <c r="W5" s="11" t="n">
        <v>-16.00000000000108</v>
      </c>
      <c r="X5" s="11" t="n">
        <v>4.278726746284827</v>
      </c>
      <c r="Y5" s="19" t="inlineStr">
        <is>
          <t>WATCH LOW</t>
        </is>
      </c>
      <c r="Z5" s="7" t="inlineStr">
        <is>
          <t>Lean LONG</t>
        </is>
      </c>
      <c r="AA5" s="11" t="n">
        <v>30.03900709219847</v>
      </c>
      <c r="AB5" s="11" t="n">
        <v>-0.1293653658515462</v>
      </c>
      <c r="AC5" s="11" t="n">
        <v>-0.1498169529709932</v>
      </c>
    </row>
    <row r="6">
      <c r="A6" s="8" t="inlineStr">
        <is>
          <t>GB_CUT_MINUS_EU_CUT</t>
        </is>
      </c>
      <c r="B6" s="8" t="inlineStr">
        <is>
          <t>GB_CUT − EU_CUT</t>
        </is>
      </c>
      <c r="C6" s="8" t="inlineStr">
        <is>
          <t>Unique pair difference: SONIA reversal: U27 − Z28 minus Euribor reversal: U27 − Z28</t>
        </is>
      </c>
      <c r="D6" s="8" t="n">
        <v>141</v>
      </c>
      <c r="E6" s="10" t="n">
        <v>2.499999999999147</v>
      </c>
      <c r="F6" s="10" t="n">
        <v>2.999999999998693</v>
      </c>
      <c r="G6" s="10" t="n">
        <v>2.000000000001023</v>
      </c>
      <c r="H6" s="10" t="n">
        <v>-0.9999999999976694</v>
      </c>
      <c r="I6" s="10" t="n">
        <v>-0.4999999999981242</v>
      </c>
      <c r="J6" s="10" t="n">
        <v>4.719858156028359</v>
      </c>
      <c r="K6" s="10" t="n">
        <v>3.000000000000114</v>
      </c>
      <c r="L6" s="10" t="n">
        <v>5.315868694741793</v>
      </c>
      <c r="M6" s="10" t="n">
        <v>-0.5116488597089864</v>
      </c>
      <c r="N6" s="10" t="n">
        <v>-3.000000000000114</v>
      </c>
      <c r="O6" s="8" t="inlineStr">
        <is>
          <t>2026-09-10</t>
        </is>
      </c>
      <c r="P6" s="10" t="n">
        <v>21.99999999999993</v>
      </c>
      <c r="Q6" s="8" t="inlineStr">
        <is>
          <t>2026-03-20</t>
        </is>
      </c>
      <c r="R6" s="10" t="n">
        <v>45.39007092198582</v>
      </c>
      <c r="S6" s="10" t="n">
        <v>45.39007092198582</v>
      </c>
      <c r="T6" s="10" t="n">
        <v>5.000000000001137</v>
      </c>
      <c r="U6" s="10" t="n">
        <v>19.99999999999891</v>
      </c>
      <c r="V6" s="10" t="n">
        <v>3.500000000002501</v>
      </c>
      <c r="W6" s="10" t="n">
        <v>2.500000000000568</v>
      </c>
      <c r="X6" s="10" t="n">
        <v>1.960487779352547</v>
      </c>
      <c r="Y6" s="8" t="inlineStr">
        <is>
          <t>NEUTRAL</t>
        </is>
      </c>
      <c r="Z6" s="8" t="inlineStr">
        <is>
          <t>No tail signal</t>
        </is>
      </c>
      <c r="AA6" s="10" t="n">
        <v>2.719858156027336</v>
      </c>
      <c r="AB6" s="10" t="n">
        <v>0.7866725311684146</v>
      </c>
      <c r="AC6" s="10" t="n">
        <v>0.9174378957623146</v>
      </c>
    </row>
    <row r="7">
      <c r="A7" s="7" t="inlineStr">
        <is>
          <t>EU_BUILD_MINUS_EU_CUT</t>
        </is>
      </c>
      <c r="B7" s="7" t="inlineStr">
        <is>
          <t>EU_BUILD − EU_CUT</t>
        </is>
      </c>
      <c r="C7" s="7" t="inlineStr">
        <is>
          <t>Unique pair difference: Euribor buildup: U27 − Z26 minus Euribor reversal: U27 − Z28</t>
        </is>
      </c>
      <c r="D7" s="7" t="n">
        <v>141</v>
      </c>
      <c r="E7" s="11" t="n">
        <v>29.50000000000017</v>
      </c>
      <c r="F7" s="11" t="n">
        <v>33.99999999999892</v>
      </c>
      <c r="G7" s="11" t="n">
        <v>35.00000000000085</v>
      </c>
      <c r="H7" s="11" t="n">
        <v>1.000000000001933</v>
      </c>
      <c r="I7" s="11" t="n">
        <v>5.500000000000682</v>
      </c>
      <c r="J7" s="11" t="n">
        <v>7.680851063829716</v>
      </c>
      <c r="K7" s="11" t="n">
        <v>6.499999999999773</v>
      </c>
      <c r="L7" s="11" t="n">
        <v>12.74660691485952</v>
      </c>
      <c r="M7" s="11" t="n">
        <v>2.143248718552972</v>
      </c>
      <c r="N7" s="11" t="n">
        <v>-12.5</v>
      </c>
      <c r="O7" s="7" t="inlineStr">
        <is>
          <t>2026-05-05</t>
        </is>
      </c>
      <c r="P7" s="11" t="n">
        <v>40.50000000000011</v>
      </c>
      <c r="Q7" s="7" t="inlineStr">
        <is>
          <t>2026-09-18</t>
        </is>
      </c>
      <c r="R7" s="11" t="n">
        <v>97.16312056737588</v>
      </c>
      <c r="S7" s="11" t="n">
        <v>2.836879432624116</v>
      </c>
      <c r="T7" s="11" t="n">
        <v>47.50000000000085</v>
      </c>
      <c r="U7" s="11" t="n">
        <v>5.499999999999261</v>
      </c>
      <c r="V7" s="11" t="n">
        <v>-3.999999999999204</v>
      </c>
      <c r="W7" s="11" t="n">
        <v>18.50000000000165</v>
      </c>
      <c r="X7" s="11" t="n">
        <v>3.604088334591107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27.31914893617114</v>
      </c>
      <c r="AB7" s="11" t="n">
        <v>0.04726756034740662</v>
      </c>
      <c r="AC7" s="11" t="n">
        <v>0.05284948855332053</v>
      </c>
    </row>
  </sheetData>
  <autoFilter ref="A1:AC7"/>
  <conditionalFormatting sqref="R2:R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A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5" customWidth="1" min="4" max="4"/>
    <col width="21" customWidth="1" min="5" max="5"/>
    <col width="20" customWidth="1" min="6" max="6"/>
    <col width="20" customWidth="1" min="7" max="7"/>
    <col width="25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  <col width="20" customWidth="1" min="16" max="16"/>
    <col width="12" customWidth="1" min="17" max="17"/>
    <col width="19" customWidth="1" min="18" max="18"/>
    <col width="20" customWidth="1" min="19" max="19"/>
    <col width="20" customWidth="1" min="20" max="20"/>
    <col width="20" customWidth="1" min="21" max="21"/>
    <col width="25" customWidth="1" min="22" max="22"/>
    <col width="19" customWidth="1" min="23" max="23"/>
    <col width="20" customWidth="1" min="24" max="24"/>
    <col width="14" customWidth="1" min="25" max="25"/>
    <col width="45" customWidth="1" min="26" max="26"/>
    <col width="20" customWidth="1" min="27" max="27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</row>
    <row r="2">
      <c r="A2" s="8" t="inlineStr">
        <is>
          <t>GB_BUILD_PLUS_GB_CUT</t>
        </is>
      </c>
      <c r="B2" s="8" t="inlineStr">
        <is>
          <t>GB_BUILD + GB_CUT</t>
        </is>
      </c>
      <c r="C2" s="8" t="inlineStr">
        <is>
          <t>Pair sum: SONIA buildup: U27 − Z26 plus SONIA reversal: U27 − Z28</t>
        </is>
      </c>
      <c r="D2" s="8" t="n">
        <v>141</v>
      </c>
      <c r="E2" s="10" t="n">
        <v>-11.50000000000091</v>
      </c>
      <c r="F2" s="10" t="n">
        <v>72.49999999999943</v>
      </c>
      <c r="G2" s="10" t="n">
        <v>72.49999999999943</v>
      </c>
      <c r="H2" s="10" t="n">
        <v>0</v>
      </c>
      <c r="I2" s="10" t="n">
        <v>84.00000000000034</v>
      </c>
      <c r="J2" s="10" t="n">
        <v>15.6241134751773</v>
      </c>
      <c r="K2" s="10" t="n">
        <v>11.49999999999949</v>
      </c>
      <c r="L2" s="10" t="n">
        <v>19.62789160029033</v>
      </c>
      <c r="M2" s="10" t="n">
        <v>2.897707389212444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98.58156028368793</v>
      </c>
      <c r="S2" s="10" t="n">
        <v>1.418439716312065</v>
      </c>
      <c r="T2" s="10" t="n">
        <v>85.49999999999893</v>
      </c>
      <c r="U2" s="10" t="n">
        <v>6.000000000000398</v>
      </c>
      <c r="V2" s="10" t="n">
        <v>4.000000000000625</v>
      </c>
      <c r="W2" s="10" t="n">
        <v>38.49999999999767</v>
      </c>
      <c r="X2" s="10" t="n">
        <v>4.269769929609727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56.87588652482214</v>
      </c>
    </row>
    <row r="3">
      <c r="A3" s="7" t="inlineStr">
        <is>
          <t>GB_BUILD_PLUS_EU_BUILD</t>
        </is>
      </c>
      <c r="B3" s="7" t="inlineStr">
        <is>
          <t>GB_BUILD + EU_BUILD</t>
        </is>
      </c>
      <c r="C3" s="7" t="inlineStr">
        <is>
          <t>Pair sum: SONIA buildup: U27 − Z26 plus Euribor buildup: U27 − Z26</t>
        </is>
      </c>
      <c r="D3" s="7" t="n">
        <v>141</v>
      </c>
      <c r="E3" s="11" t="n">
        <v>15.50000000000011</v>
      </c>
      <c r="F3" s="11" t="n">
        <v>103.4999999999997</v>
      </c>
      <c r="G3" s="11" t="n">
        <v>105.4999999999993</v>
      </c>
      <c r="H3" s="11" t="n">
        <v>1.999999999999602</v>
      </c>
      <c r="I3" s="11" t="n">
        <v>89.99999999999915</v>
      </c>
      <c r="J3" s="11" t="n">
        <v>18.58510638297865</v>
      </c>
      <c r="K3" s="11" t="n">
        <v>9.499999999998465</v>
      </c>
      <c r="L3" s="11" t="n">
        <v>32.73928164010366</v>
      </c>
      <c r="M3" s="11" t="n">
        <v>2.654758725999506</v>
      </c>
      <c r="N3" s="11" t="n">
        <v>-29.50000000000017</v>
      </c>
      <c r="O3" s="7" t="inlineStr">
        <is>
          <t>2026-03-20</t>
        </is>
      </c>
      <c r="P3" s="11" t="n">
        <v>116.4999999999993</v>
      </c>
      <c r="Q3" s="7" t="inlineStr">
        <is>
          <t>2026-09-18</t>
        </is>
      </c>
      <c r="R3" s="11" t="n">
        <v>97.87234042553192</v>
      </c>
      <c r="S3" s="11" t="n">
        <v>2.127659574468083</v>
      </c>
      <c r="T3" s="11" t="n">
        <v>134.9999999999994</v>
      </c>
      <c r="U3" s="11" t="n">
        <v>11.00000000000003</v>
      </c>
      <c r="V3" s="11" t="n">
        <v>-3.50000000000108</v>
      </c>
      <c r="W3" s="11" t="n">
        <v>54.49999999999875</v>
      </c>
      <c r="X3" s="11" t="n">
        <v>5.645487697830084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86.91489361702061</v>
      </c>
    </row>
    <row r="4">
      <c r="A4" s="8" t="inlineStr">
        <is>
          <t>GB_BUILD_PLUS_EU_CUT</t>
        </is>
      </c>
      <c r="B4" s="8" t="inlineStr">
        <is>
          <t>GB_BUILD + EU_CUT</t>
        </is>
      </c>
      <c r="C4" s="8" t="inlineStr">
        <is>
          <t>Pair sum: SONIA buildup: U27 − Z26 plus Euribor reversal: U27 − Z28</t>
        </is>
      </c>
      <c r="D4" s="8" t="n">
        <v>141</v>
      </c>
      <c r="E4" s="10" t="n">
        <v>-14.00000000000006</v>
      </c>
      <c r="F4" s="10" t="n">
        <v>69.50000000000074</v>
      </c>
      <c r="G4" s="10" t="n">
        <v>70.49999999999841</v>
      </c>
      <c r="H4" s="10" t="n">
        <v>0.9999999999976694</v>
      </c>
      <c r="I4" s="10" t="n">
        <v>84.49999999999847</v>
      </c>
      <c r="J4" s="10" t="n">
        <v>10.90425531914894</v>
      </c>
      <c r="K4" s="10" t="n">
        <v>6.499999999999773</v>
      </c>
      <c r="L4" s="10" t="n">
        <v>22.66258046188674</v>
      </c>
      <c r="M4" s="10" t="n">
        <v>2.629698095548997</v>
      </c>
      <c r="N4" s="10" t="n">
        <v>-22.99999999999893</v>
      </c>
      <c r="O4" s="8" t="inlineStr">
        <is>
          <t>2026-04-17</t>
        </is>
      </c>
      <c r="P4" s="10" t="n">
        <v>76.50000000000006</v>
      </c>
      <c r="Q4" s="8" t="inlineStr">
        <is>
          <t>2026-09-14</t>
        </is>
      </c>
      <c r="R4" s="10" t="n">
        <v>97.87234042553192</v>
      </c>
      <c r="S4" s="10" t="n">
        <v>2.127659574468083</v>
      </c>
      <c r="T4" s="10" t="n">
        <v>93.49999999999734</v>
      </c>
      <c r="U4" s="10" t="n">
        <v>6.000000000001648</v>
      </c>
      <c r="V4" s="10" t="n">
        <v>0.4999999999981242</v>
      </c>
      <c r="W4" s="10" t="n">
        <v>35.9999999999971</v>
      </c>
      <c r="X4" s="10" t="n">
        <v>4.311810961978758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59.59574468084947</v>
      </c>
    </row>
    <row r="5">
      <c r="A5" s="7" t="inlineStr">
        <is>
          <t>GB_CUT_PLUS_EU_BUILD</t>
        </is>
      </c>
      <c r="B5" s="7" t="inlineStr">
        <is>
          <t>GB_CUT + EU_BUILD</t>
        </is>
      </c>
      <c r="C5" s="7" t="inlineStr">
        <is>
          <t>Pair sum: SONIA reversal: U27 − Z28 plus Euribor buildup: U27 − Z26</t>
        </is>
      </c>
      <c r="D5" s="7" t="n">
        <v>141</v>
      </c>
      <c r="E5" s="11" t="n">
        <v>-9.000000000000341</v>
      </c>
      <c r="F5" s="11" t="n">
        <v>62.99999999999955</v>
      </c>
      <c r="G5" s="11" t="n">
        <v>64.00000000000006</v>
      </c>
      <c r="H5" s="11" t="n">
        <v>1.000000000000512</v>
      </c>
      <c r="I5" s="11" t="n">
        <v>73.0000000000004</v>
      </c>
      <c r="J5" s="11" t="n">
        <v>15.20921985815597</v>
      </c>
      <c r="K5" s="11" t="n">
        <v>12.00000000000045</v>
      </c>
      <c r="L5" s="11" t="n">
        <v>15.60129985751753</v>
      </c>
      <c r="M5" s="11" t="n">
        <v>3.127353527426378</v>
      </c>
      <c r="N5" s="11" t="n">
        <v>-9.000000000000341</v>
      </c>
      <c r="O5" s="7" t="inlineStr">
        <is>
          <t>2026-03-02</t>
        </is>
      </c>
      <c r="P5" s="11" t="n">
        <v>68.99999999999986</v>
      </c>
      <c r="Q5" s="7" t="inlineStr">
        <is>
          <t>2026-09-18</t>
        </is>
      </c>
      <c r="R5" s="11" t="n">
        <v>98.58156028368793</v>
      </c>
      <c r="S5" s="11" t="n">
        <v>1.418439716312065</v>
      </c>
      <c r="T5" s="11" t="n">
        <v>73.0000000000004</v>
      </c>
      <c r="U5" s="11" t="n">
        <v>4.999999999999801</v>
      </c>
      <c r="V5" s="11" t="n">
        <v>3.499999999999659</v>
      </c>
      <c r="W5" s="11" t="n">
        <v>39.00000000000006</v>
      </c>
      <c r="X5" s="11" t="n">
        <v>3.769372707278</v>
      </c>
      <c r="Y5" s="18" t="inlineStr">
        <is>
          <t>EXTREME HIGH</t>
        </is>
      </c>
      <c r="Z5" s="7" t="inlineStr">
        <is>
          <t>SHORT level / receive positive-rate weights</t>
        </is>
      </c>
      <c r="AA5" s="11" t="n">
        <v>48.79078014184409</v>
      </c>
    </row>
    <row r="6">
      <c r="A6" s="8" t="inlineStr">
        <is>
          <t>GB_CUT_PLUS_EU_CUT</t>
        </is>
      </c>
      <c r="B6" s="8" t="inlineStr">
        <is>
          <t>GB_CUT + EU_CUT</t>
        </is>
      </c>
      <c r="C6" s="8" t="inlineStr">
        <is>
          <t>Pair sum: SONIA reversal: U27 − Z28 plus Euribor reversal: U27 − Z28</t>
        </is>
      </c>
      <c r="D6" s="8" t="n">
        <v>141</v>
      </c>
      <c r="E6" s="10" t="n">
        <v>-38.50000000000051</v>
      </c>
      <c r="F6" s="10" t="n">
        <v>29.00000000000063</v>
      </c>
      <c r="G6" s="10" t="n">
        <v>28.9999999999992</v>
      </c>
      <c r="H6" s="10" t="n">
        <v>-1.4210854715202e-12</v>
      </c>
      <c r="I6" s="10" t="n">
        <v>67.49999999999972</v>
      </c>
      <c r="J6" s="10" t="n">
        <v>7.528368794326258</v>
      </c>
      <c r="K6" s="10" t="n">
        <v>9.000000000000341</v>
      </c>
      <c r="L6" s="10" t="n">
        <v>13.49017804733258</v>
      </c>
      <c r="M6" s="10" t="n">
        <v>1.591649208063532</v>
      </c>
      <c r="N6" s="10" t="n">
        <v>-38.50000000000051</v>
      </c>
      <c r="O6" s="8" t="inlineStr">
        <is>
          <t>2026-03-02</t>
        </is>
      </c>
      <c r="P6" s="10" t="n">
        <v>32.50000000000028</v>
      </c>
      <c r="Q6" s="8" t="inlineStr">
        <is>
          <t>2026-09-14</t>
        </is>
      </c>
      <c r="R6" s="10" t="n">
        <v>98.58156028368793</v>
      </c>
      <c r="S6" s="10" t="n">
        <v>1.418439716312065</v>
      </c>
      <c r="T6" s="10" t="n">
        <v>67.49999999999972</v>
      </c>
      <c r="U6" s="10" t="n">
        <v>3.50000000000108</v>
      </c>
      <c r="V6" s="10" t="n">
        <v>7.499999999998863</v>
      </c>
      <c r="W6" s="10" t="n">
        <v>20.49999999999841</v>
      </c>
      <c r="X6" s="10" t="n">
        <v>5.54167036939618</v>
      </c>
      <c r="Y6" s="18" t="inlineStr">
        <is>
          <t>EXTREME HIGH</t>
        </is>
      </c>
      <c r="Z6" s="8" t="inlineStr">
        <is>
          <t>SHORT level / receive positive-rate weights</t>
        </is>
      </c>
      <c r="AA6" s="10" t="n">
        <v>21.47163120567295</v>
      </c>
    </row>
    <row r="7">
      <c r="A7" s="7" t="inlineStr">
        <is>
          <t>EU_BUILD_PLUS_EU_CUT</t>
        </is>
      </c>
      <c r="B7" s="7" t="inlineStr">
        <is>
          <t>EU_BUILD + EU_CUT</t>
        </is>
      </c>
      <c r="C7" s="7" t="inlineStr">
        <is>
          <t>Pair sum: Euribor buildup: U27 − Z26 plus Euribor reversal: U27 − Z28</t>
        </is>
      </c>
      <c r="D7" s="7" t="n">
        <v>141</v>
      </c>
      <c r="E7" s="11" t="n">
        <v>-11.49999999999949</v>
      </c>
      <c r="F7" s="11" t="n">
        <v>60.00000000000085</v>
      </c>
      <c r="G7" s="11" t="n">
        <v>61.99999999999903</v>
      </c>
      <c r="H7" s="11" t="n">
        <v>1.999999999998181</v>
      </c>
      <c r="I7" s="11" t="n">
        <v>73.49999999999852</v>
      </c>
      <c r="J7" s="11" t="n">
        <v>10.48936170212762</v>
      </c>
      <c r="K7" s="11" t="n">
        <v>5.499999999999261</v>
      </c>
      <c r="L7" s="11" t="n">
        <v>17.82679244495158</v>
      </c>
      <c r="M7" s="11" t="n">
        <v>2.889506817164905</v>
      </c>
      <c r="N7" s="11" t="n">
        <v>-12.00000000000045</v>
      </c>
      <c r="O7" s="7" t="inlineStr">
        <is>
          <t>2026-03-04</t>
        </is>
      </c>
      <c r="P7" s="11" t="n">
        <v>68.99999999999977</v>
      </c>
      <c r="Q7" s="7" t="inlineStr">
        <is>
          <t>2026-09-14</t>
        </is>
      </c>
      <c r="R7" s="11" t="n">
        <v>97.87234042553192</v>
      </c>
      <c r="S7" s="11" t="n">
        <v>2.127659574468083</v>
      </c>
      <c r="T7" s="11" t="n">
        <v>73.99999999999949</v>
      </c>
      <c r="U7" s="11" t="n">
        <v>7.000000000000739</v>
      </c>
      <c r="V7" s="11" t="n">
        <v>-2.842170943040401e-12</v>
      </c>
      <c r="W7" s="11" t="n">
        <v>36.49999999999949</v>
      </c>
      <c r="X7" s="11" t="n">
        <v>3.778167592856631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51.51063829787142</v>
      </c>
    </row>
  </sheetData>
  <autoFilter ref="A1:AA7"/>
  <conditionalFormatting sqref="R2:R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  <col width="5" customWidth="1" min="4" max="4"/>
    <col width="21" customWidth="1" min="5" max="5"/>
    <col width="21" customWidth="1" min="6" max="6"/>
    <col width="21" customWidth="1" min="7" max="7"/>
    <col width="23" customWidth="1" min="8" max="8"/>
    <col width="26" customWidth="1" min="9" max="9"/>
    <col width="21" customWidth="1" min="10" max="10"/>
    <col width="21" customWidth="1" min="11" max="11"/>
    <col width="20" customWidth="1" min="12" max="12"/>
    <col width="24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3" customWidth="1" min="20" max="20"/>
    <col width="23" customWidth="1" min="21" max="21"/>
    <col width="23" customWidth="1" min="22" max="22"/>
    <col width="22" customWidth="1" min="23" max="23"/>
    <col width="20" customWidth="1" min="24" max="24"/>
    <col width="9" customWidth="1" min="25" max="25"/>
    <col width="23" customWidth="1" min="26" max="26"/>
    <col width="24" customWidth="1" min="27" max="27"/>
    <col width="26" customWidth="1" min="28" max="28"/>
    <col width="47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start_ratio</t>
        </is>
      </c>
      <c r="F1" s="6" t="inlineStr">
        <is>
          <t>previous_ratio</t>
        </is>
      </c>
      <c r="G1" s="6" t="inlineStr">
        <is>
          <t>current_ratio</t>
        </is>
      </c>
      <c r="H1" s="6" t="inlineStr">
        <is>
          <t>change_1d_ratio</t>
        </is>
      </c>
      <c r="I1" s="6" t="inlineStr">
        <is>
          <t>change_since_start_ratio</t>
        </is>
      </c>
      <c r="J1" s="6" t="inlineStr">
        <is>
          <t>mean_ratio</t>
        </is>
      </c>
      <c r="K1" s="6" t="inlineStr">
        <is>
          <t>median_ratio</t>
        </is>
      </c>
      <c r="L1" s="6" t="inlineStr">
        <is>
          <t>std_ratio</t>
        </is>
      </c>
      <c r="M1" s="6" t="inlineStr">
        <is>
          <t>zscore</t>
        </is>
      </c>
      <c r="N1" s="6" t="inlineStr">
        <is>
          <t>min_ratio</t>
        </is>
      </c>
      <c r="O1" s="6" t="inlineStr">
        <is>
          <t>min_date</t>
        </is>
      </c>
      <c r="P1" s="6" t="inlineStr">
        <is>
          <t>max_ratio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distance_to_min_ratio</t>
        </is>
      </c>
      <c r="U1" s="6" t="inlineStr">
        <is>
          <t>distance_to_max_ratio</t>
        </is>
      </c>
      <c r="V1" s="6" t="inlineStr">
        <is>
          <t>change_5d_ratio</t>
        </is>
      </c>
      <c r="W1" s="6" t="inlineStr">
        <is>
          <t>change_20d_ratio</t>
        </is>
      </c>
      <c r="X1" s="6" t="inlineStr">
        <is>
          <t>daily_vol_ratio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distance_to_mean_ratio</t>
        </is>
      </c>
      <c r="AB1" s="6" t="inlineStr">
        <is>
          <t>denominator_crosses_zero</t>
        </is>
      </c>
      <c r="AC1" s="6" t="inlineStr">
        <is>
          <t>reliability</t>
        </is>
      </c>
    </row>
    <row r="2">
      <c r="A2" s="8" t="inlineStr">
        <is>
          <t>GB_BUILD_DIV_GB_CUT</t>
        </is>
      </c>
      <c r="B2" s="8" t="inlineStr">
        <is>
          <t>GB_BUILD / GB_CUT</t>
        </is>
      </c>
      <c r="C2" s="8" t="inlineStr">
        <is>
          <t>Dimensionless ratio; use only when denominator is safely away from zero</t>
        </is>
      </c>
      <c r="D2" s="8" t="n">
        <v>141</v>
      </c>
      <c r="E2" s="8" t="n">
        <v>-0.3611111111110848</v>
      </c>
      <c r="F2" s="8" t="n">
        <v>3.531250000000061</v>
      </c>
      <c r="G2" s="8" t="n">
        <v>3.677419354838639</v>
      </c>
      <c r="H2" s="8" t="n">
        <v>0.1461693548385776</v>
      </c>
      <c r="I2" s="8" t="n">
        <v>4.038530465949724</v>
      </c>
      <c r="J2" s="8" t="n">
        <v>3.246028980977584</v>
      </c>
      <c r="K2" s="8" t="n">
        <v>0.3181818181817888</v>
      </c>
      <c r="L2" s="8" t="n">
        <v>8.343477208892878</v>
      </c>
      <c r="M2" s="10" t="n">
        <v>0.05170390750288847</v>
      </c>
      <c r="N2" s="8" t="n">
        <v>-14.99999999997158</v>
      </c>
      <c r="O2" s="8" t="inlineStr">
        <is>
          <t>2026-07-10</t>
        </is>
      </c>
      <c r="P2" s="8" t="n">
        <v>55.00000000005116</v>
      </c>
      <c r="Q2" s="8" t="inlineStr">
        <is>
          <t>2026-08-18</t>
        </is>
      </c>
      <c r="R2" s="10" t="n">
        <v>70.21276595744681</v>
      </c>
      <c r="S2" s="10" t="n">
        <v>29.78723404255319</v>
      </c>
      <c r="T2" s="8" t="n">
        <v>18.67741935481022</v>
      </c>
      <c r="U2" s="8" t="n">
        <v>51.32258064521252</v>
      </c>
      <c r="V2" s="8" t="n">
        <v>-2.172580645161631</v>
      </c>
      <c r="W2" s="8" t="n">
        <v>-3.822580645160473</v>
      </c>
      <c r="X2" s="10" t="n">
        <v>7.803473696564185</v>
      </c>
      <c r="Y2" s="8" t="inlineStr">
        <is>
          <t>NEUTRAL</t>
        </is>
      </c>
      <c r="Z2" s="8" t="inlineStr">
        <is>
          <t>No tail signal</t>
        </is>
      </c>
      <c r="AA2" s="8" t="n">
        <v>0.4313903738610554</v>
      </c>
      <c r="AB2" s="8" t="b">
        <v>1</v>
      </c>
      <c r="AC2" s="8" t="inlineStr">
        <is>
          <t>UNSTABLE — denominator crosses zero in sample</t>
        </is>
      </c>
    </row>
    <row r="3">
      <c r="A3" s="7" t="inlineStr">
        <is>
          <t>GB_BUILD_DIV_EU_BUILD</t>
        </is>
      </c>
      <c r="B3" s="7" t="inlineStr">
        <is>
          <t>GB_BUILD / EU_BUILD</t>
        </is>
      </c>
      <c r="C3" s="7" t="inlineStr">
        <is>
          <t>Dimensionless ratio; use only when denominator is safely away from zero</t>
        </is>
      </c>
      <c r="D3" s="7" t="n">
        <v>136</v>
      </c>
      <c r="E3" s="7" t="n">
        <v>0.7222222222221696</v>
      </c>
      <c r="F3" s="7" t="n">
        <v>1.202127659574466</v>
      </c>
      <c r="G3" s="7" t="n">
        <v>1.17525773195875</v>
      </c>
      <c r="H3" s="7" t="n">
        <v>-0.02686992761571583</v>
      </c>
      <c r="I3" s="7" t="n">
        <v>0.4530355097365807</v>
      </c>
      <c r="J3" s="7" t="n">
        <v>1.910236582978567</v>
      </c>
      <c r="K3" s="7" t="n">
        <v>1.305235137533269</v>
      </c>
      <c r="L3" s="7" t="n">
        <v>4.442987898316879</v>
      </c>
      <c r="M3" s="11" t="n">
        <v>-0.1654244548580126</v>
      </c>
      <c r="N3" s="7" t="n">
        <v>-21.0000000000199</v>
      </c>
      <c r="O3" s="7" t="inlineStr">
        <is>
          <t>2026-04-16</t>
        </is>
      </c>
      <c r="P3" s="7" t="n">
        <v>23.00000000002274</v>
      </c>
      <c r="Q3" s="7" t="inlineStr">
        <is>
          <t>2026-04-21</t>
        </is>
      </c>
      <c r="R3" s="11" t="n">
        <v>33.82352941176471</v>
      </c>
      <c r="S3" s="11" t="n">
        <v>33.82352941176471</v>
      </c>
      <c r="T3" s="7" t="n">
        <v>22.17525773197865</v>
      </c>
      <c r="U3" s="7" t="n">
        <v>21.82474226806399</v>
      </c>
      <c r="V3" s="7" t="n">
        <v>0.01684189037462636</v>
      </c>
      <c r="W3" s="7" t="n">
        <v>-0.2533136966127749</v>
      </c>
      <c r="X3" s="11" t="n">
        <v>5.364525145412297</v>
      </c>
      <c r="Y3" s="7" t="inlineStr">
        <is>
          <t>NEUTRAL</t>
        </is>
      </c>
      <c r="Z3" s="7" t="inlineStr">
        <is>
          <t>No tail signal</t>
        </is>
      </c>
      <c r="AA3" s="7" t="n">
        <v>0.734978851019817</v>
      </c>
      <c r="AB3" s="7" t="b">
        <v>1</v>
      </c>
      <c r="AC3" s="7" t="inlineStr">
        <is>
          <t>UNSTABLE — denominator crosses zero in sample</t>
        </is>
      </c>
    </row>
    <row r="4">
      <c r="A4" s="8" t="inlineStr">
        <is>
          <t>GB_BUILD_DIV_EU_CUT</t>
        </is>
      </c>
      <c r="B4" s="8" t="inlineStr">
        <is>
          <t>GB_BUILD / EU_CUT</t>
        </is>
      </c>
      <c r="C4" s="8" t="inlineStr">
        <is>
          <t>Dimensionless ratio; use only when denominator is safely away from zero</t>
        </is>
      </c>
      <c r="D4" s="8" t="n">
        <v>137</v>
      </c>
      <c r="E4" s="8" t="n">
        <v>-0.3170731707316989</v>
      </c>
      <c r="F4" s="8" t="n">
        <v>4.346153846153506</v>
      </c>
      <c r="G4" s="8" t="n">
        <v>4.222222222222456</v>
      </c>
      <c r="H4" s="8" t="n">
        <v>-0.1239316239310497</v>
      </c>
      <c r="I4" s="8" t="n">
        <v>4.539295392954155</v>
      </c>
      <c r="J4" s="8" t="n">
        <v>2.188240511868687</v>
      </c>
      <c r="K4" s="8" t="n">
        <v>1.400000000000341</v>
      </c>
      <c r="L4" s="8" t="n">
        <v>5.806664031498719</v>
      </c>
      <c r="M4" s="10" t="n">
        <v>0.3502840356046553</v>
      </c>
      <c r="N4" s="8" t="n">
        <v>-17.00000000001705</v>
      </c>
      <c r="O4" s="8" t="inlineStr">
        <is>
          <t>2026-05-07</t>
        </is>
      </c>
      <c r="P4" s="8" t="n">
        <v>26.99999999998721</v>
      </c>
      <c r="Q4" s="8" t="inlineStr">
        <is>
          <t>2026-08-21</t>
        </is>
      </c>
      <c r="R4" s="10" t="n">
        <v>71.53284671532847</v>
      </c>
      <c r="S4" s="10" t="n">
        <v>28.46715328467153</v>
      </c>
      <c r="T4" s="8" t="n">
        <v>21.22222222223951</v>
      </c>
      <c r="U4" s="8" t="n">
        <v>22.77777777776475</v>
      </c>
      <c r="V4" s="8" t="n">
        <v>-0.8647342995162175</v>
      </c>
      <c r="W4" s="8" t="n">
        <v>-2.444444444444211</v>
      </c>
      <c r="X4" s="10" t="n">
        <v>4.374885999590528</v>
      </c>
      <c r="Y4" s="8" t="inlineStr">
        <is>
          <t>NEUTRAL</t>
        </is>
      </c>
      <c r="Z4" s="8" t="inlineStr">
        <is>
          <t>No tail signal</t>
        </is>
      </c>
      <c r="AA4" s="8" t="n">
        <v>2.033981710353769</v>
      </c>
      <c r="AB4" s="8" t="b">
        <v>1</v>
      </c>
      <c r="AC4" s="8" t="inlineStr">
        <is>
          <t>UNSTABLE — denominator crosses zero in sample</t>
        </is>
      </c>
    </row>
    <row r="5">
      <c r="A5" s="7" t="inlineStr">
        <is>
          <t>GB_CUT_DIV_GB_BUILD</t>
        </is>
      </c>
      <c r="B5" s="7" t="inlineStr">
        <is>
          <t>GB_CUT / GB_BUILD</t>
        </is>
      </c>
      <c r="C5" s="7" t="inlineStr">
        <is>
          <t>Dimensionless ratio; use only when denominator is safely away from zero</t>
        </is>
      </c>
      <c r="D5" s="7" t="n">
        <v>137</v>
      </c>
      <c r="E5" s="7" t="n">
        <v>-2.769230769230971</v>
      </c>
      <c r="F5" s="7" t="n">
        <v>0.2831858407079597</v>
      </c>
      <c r="G5" s="7" t="n">
        <v>0.2719298245614087</v>
      </c>
      <c r="H5" s="7" t="n">
        <v>-0.01125601614655097</v>
      </c>
      <c r="I5" s="7" t="n">
        <v>3.04116059379238</v>
      </c>
      <c r="J5" s="7" t="n">
        <v>0.4431554120637416</v>
      </c>
      <c r="K5" s="7" t="n">
        <v>0.09859154929576394</v>
      </c>
      <c r="L5" s="7" t="n">
        <v>4.207367769344381</v>
      </c>
      <c r="M5" s="11" t="n">
        <v>-0.04069660578519248</v>
      </c>
      <c r="N5" s="7" t="n">
        <v>-26.00000000002274</v>
      </c>
      <c r="O5" s="7" t="inlineStr">
        <is>
          <t>2026-05-14</t>
        </is>
      </c>
      <c r="P5" s="7" t="n">
        <v>17.00000000001421</v>
      </c>
      <c r="Q5" s="7" t="inlineStr">
        <is>
          <t>2026-05-27</t>
        </is>
      </c>
      <c r="R5" s="11" t="n">
        <v>70.80291970802919</v>
      </c>
      <c r="S5" s="11" t="n">
        <v>29.19708029197081</v>
      </c>
      <c r="T5" s="7" t="n">
        <v>26.27192982458415</v>
      </c>
      <c r="U5" s="7" t="n">
        <v>16.7280701754528</v>
      </c>
      <c r="V5" s="7" t="n">
        <v>0.1009896536212457</v>
      </c>
      <c r="W5" s="7" t="n">
        <v>0.1385964912280596</v>
      </c>
      <c r="X5" s="11" t="n">
        <v>5.725170034269043</v>
      </c>
      <c r="Y5" s="7" t="inlineStr">
        <is>
          <t>NEUTRAL</t>
        </is>
      </c>
      <c r="Z5" s="7" t="inlineStr">
        <is>
          <t>No tail signal</t>
        </is>
      </c>
      <c r="AA5" s="7" t="n">
        <v>0.1712255875023329</v>
      </c>
      <c r="AB5" s="7" t="b">
        <v>1</v>
      </c>
      <c r="AC5" s="7" t="inlineStr">
        <is>
          <t>UNSTABLE — denominator crosses zero in sample</t>
        </is>
      </c>
    </row>
    <row r="6">
      <c r="A6" s="8" t="inlineStr">
        <is>
          <t>GB_CUT_DIV_EU_BUILD</t>
        </is>
      </c>
      <c r="B6" s="8" t="inlineStr">
        <is>
          <t>GB_CUT / EU_BUILD</t>
        </is>
      </c>
      <c r="C6" s="8" t="inlineStr">
        <is>
          <t>Dimensionless ratio; use only when denominator is safely away from zero</t>
        </is>
      </c>
      <c r="D6" s="8" t="n">
        <v>136</v>
      </c>
      <c r="E6" s="8" t="n">
        <v>-2</v>
      </c>
      <c r="F6" s="8" t="n">
        <v>0.3404255319148872</v>
      </c>
      <c r="G6" s="8" t="n">
        <v>0.3195876288659821</v>
      </c>
      <c r="H6" s="8" t="n">
        <v>-0.02083790304890509</v>
      </c>
      <c r="I6" s="8" t="n">
        <v>2.319587628865982</v>
      </c>
      <c r="J6" s="8" t="n">
        <v>-0.4641858460905153</v>
      </c>
      <c r="K6" s="8" t="n">
        <v>0.0842044134727304</v>
      </c>
      <c r="L6" s="8" t="n">
        <v>5.79209290301571</v>
      </c>
      <c r="M6" s="10" t="n">
        <v>0.1353178355527443</v>
      </c>
      <c r="N6" s="8" t="n">
        <v>-16.00000000001421</v>
      </c>
      <c r="O6" s="8" t="inlineStr">
        <is>
          <t>2026-04-22</t>
        </is>
      </c>
      <c r="P6" s="8" t="n">
        <v>31.00000000002842</v>
      </c>
      <c r="Q6" s="8" t="inlineStr">
        <is>
          <t>2026-05-13</t>
        </is>
      </c>
      <c r="R6" s="10" t="n">
        <v>72.79411764705883</v>
      </c>
      <c r="S6" s="10" t="n">
        <v>27.20588235294117</v>
      </c>
      <c r="T6" s="8" t="n">
        <v>16.31958762888019</v>
      </c>
      <c r="U6" s="8" t="n">
        <v>30.68041237116244</v>
      </c>
      <c r="V6" s="8" t="n">
        <v>0.1215678268857991</v>
      </c>
      <c r="W6" s="8" t="n">
        <v>0.1291114383897562</v>
      </c>
      <c r="X6" s="10" t="n">
        <v>6.535008030952082</v>
      </c>
      <c r="Y6" s="8" t="inlineStr">
        <is>
          <t>NEUTRAL</t>
        </is>
      </c>
      <c r="Z6" s="8" t="inlineStr">
        <is>
          <t>No tail signal</t>
        </is>
      </c>
      <c r="AA6" s="8" t="n">
        <v>0.7837734749564973</v>
      </c>
      <c r="AB6" s="8" t="b">
        <v>1</v>
      </c>
      <c r="AC6" s="8" t="inlineStr">
        <is>
          <t>UNSTABLE — denominator crosses zero in sample</t>
        </is>
      </c>
    </row>
    <row r="7">
      <c r="A7" s="7" t="inlineStr">
        <is>
          <t>GB_CUT_DIV_EU_CUT</t>
        </is>
      </c>
      <c r="B7" s="7" t="inlineStr">
        <is>
          <t>GB_CUT / EU_CUT</t>
        </is>
      </c>
      <c r="C7" s="7" t="inlineStr">
        <is>
          <t>Dimensionless ratio; use only when denominator is safely away from zero</t>
        </is>
      </c>
      <c r="D7" s="7" t="n">
        <v>137</v>
      </c>
      <c r="E7" s="7" t="n">
        <v>0.8780487804878454</v>
      </c>
      <c r="F7" s="7" t="n">
        <v>1.230769230769113</v>
      </c>
      <c r="G7" s="7" t="n">
        <v>1.148148148148234</v>
      </c>
      <c r="H7" s="7" t="n">
        <v>-0.0826210826208793</v>
      </c>
      <c r="I7" s="7" t="n">
        <v>0.2700993676603884</v>
      </c>
      <c r="J7" s="7" t="n">
        <v>1.950928367572845</v>
      </c>
      <c r="K7" s="7" t="n">
        <v>1.199999999999773</v>
      </c>
      <c r="L7" s="7" t="n">
        <v>3.393312110320827</v>
      </c>
      <c r="M7" s="11" t="n">
        <v>-0.236577182801116</v>
      </c>
      <c r="N7" s="7" t="n">
        <v>-8.000000000007105</v>
      </c>
      <c r="O7" s="7" t="inlineStr">
        <is>
          <t>2026-04-13</t>
        </is>
      </c>
      <c r="P7" s="7" t="n">
        <v>20.00000000001705</v>
      </c>
      <c r="Q7" s="7" t="inlineStr">
        <is>
          <t>2026-05-07</t>
        </is>
      </c>
      <c r="R7" s="11" t="n">
        <v>48.17518248175183</v>
      </c>
      <c r="S7" s="11" t="n">
        <v>48.17518248175183</v>
      </c>
      <c r="T7" s="7" t="n">
        <v>9.148148148155339</v>
      </c>
      <c r="U7" s="7" t="n">
        <v>18.85185185186882</v>
      </c>
      <c r="V7" s="7" t="n">
        <v>0.2785829307570477</v>
      </c>
      <c r="W7" s="7" t="n">
        <v>0.2592592592592396</v>
      </c>
      <c r="X7" s="11" t="n">
        <v>3.662237298320155</v>
      </c>
      <c r="Y7" s="7" t="inlineStr">
        <is>
          <t>NEUTRAL</t>
        </is>
      </c>
      <c r="Z7" s="7" t="inlineStr">
        <is>
          <t>No tail signal</t>
        </is>
      </c>
      <c r="AA7" s="7" t="n">
        <v>0.8027802194246112</v>
      </c>
      <c r="AB7" s="7" t="b">
        <v>1</v>
      </c>
      <c r="AC7" s="7" t="inlineStr">
        <is>
          <t>UNSTABLE — denominator crosses zero in sample</t>
        </is>
      </c>
    </row>
    <row r="8">
      <c r="A8" s="8" t="inlineStr">
        <is>
          <t>EU_BUILD_DIV_GB_BUILD</t>
        </is>
      </c>
      <c r="B8" s="8" t="inlineStr">
        <is>
          <t>EU_BUILD / GB_BUILD</t>
        </is>
      </c>
      <c r="C8" s="8" t="inlineStr">
        <is>
          <t>Dimensionless ratio; use only when denominator is safely away from zero</t>
        </is>
      </c>
      <c r="D8" s="8" t="n">
        <v>137</v>
      </c>
      <c r="E8" s="8" t="n">
        <v>1.384615384615486</v>
      </c>
      <c r="F8" s="8" t="n">
        <v>0.8318584070796473</v>
      </c>
      <c r="G8" s="8" t="n">
        <v>0.8508771929824653</v>
      </c>
      <c r="H8" s="8" t="n">
        <v>0.01901878590281803</v>
      </c>
      <c r="I8" s="8" t="n">
        <v>-0.5337381916330203</v>
      </c>
      <c r="J8" s="8" t="n">
        <v>0.5531733334270933</v>
      </c>
      <c r="K8" s="8" t="n">
        <v>0.7037037037036686</v>
      </c>
      <c r="L8" s="8" t="n">
        <v>0.6390653023515543</v>
      </c>
      <c r="M8" s="10" t="n">
        <v>0.4658426274434205</v>
      </c>
      <c r="N8" s="8" t="n">
        <v>-3.000000000002842</v>
      </c>
      <c r="O8" s="8" t="inlineStr">
        <is>
          <t>2026-05-29</t>
        </is>
      </c>
      <c r="P8" s="8" t="n">
        <v>2.500000000002842</v>
      </c>
      <c r="Q8" s="8" t="inlineStr">
        <is>
          <t>2026-06-03</t>
        </is>
      </c>
      <c r="R8" s="10" t="n">
        <v>76.64233576642336</v>
      </c>
      <c r="S8" s="10" t="n">
        <v>23.35766423357664</v>
      </c>
      <c r="T8" s="8" t="n">
        <v>3.850877192985307</v>
      </c>
      <c r="U8" s="8" t="n">
        <v>1.649122807020377</v>
      </c>
      <c r="V8" s="8" t="n">
        <v>-0.01237067026542371</v>
      </c>
      <c r="W8" s="8" t="n">
        <v>0.1508771929825127</v>
      </c>
      <c r="X8" s="10" t="n">
        <v>0.7056681315190009</v>
      </c>
      <c r="Y8" s="8" t="inlineStr">
        <is>
          <t>NEUTRAL</t>
        </is>
      </c>
      <c r="Z8" s="8" t="inlineStr">
        <is>
          <t>No tail signal</t>
        </is>
      </c>
      <c r="AA8" s="8" t="n">
        <v>0.297703859555372</v>
      </c>
      <c r="AB8" s="8" t="b">
        <v>1</v>
      </c>
      <c r="AC8" s="8" t="inlineStr">
        <is>
          <t>UNSTABLE — denominator crosses zero in sample</t>
        </is>
      </c>
    </row>
    <row r="9">
      <c r="A9" s="7" t="inlineStr">
        <is>
          <t>EU_BUILD_DIV_GB_CUT</t>
        </is>
      </c>
      <c r="B9" s="7" t="inlineStr">
        <is>
          <t>EU_BUILD / GB_CUT</t>
        </is>
      </c>
      <c r="C9" s="7" t="inlineStr">
        <is>
          <t>Dimensionless ratio; use only when denominator is safely away from zero</t>
        </is>
      </c>
      <c r="D9" s="7" t="n">
        <v>141</v>
      </c>
      <c r="E9" s="7" t="n">
        <v>-0.5</v>
      </c>
      <c r="F9" s="7" t="n">
        <v>2.937500000000056</v>
      </c>
      <c r="G9" s="7" t="n">
        <v>3.129032258064489</v>
      </c>
      <c r="H9" s="7" t="n">
        <v>0.1915322580644339</v>
      </c>
      <c r="I9" s="7" t="n">
        <v>3.629032258064489</v>
      </c>
      <c r="J9" s="7" t="n">
        <v>2.311237719770042</v>
      </c>
      <c r="K9" s="7" t="n">
        <v>0.07142857142849893</v>
      </c>
      <c r="L9" s="7" t="n">
        <v>5.796692587183966</v>
      </c>
      <c r="M9" s="11" t="n">
        <v>0.1410795080116078</v>
      </c>
      <c r="N9" s="7" t="n">
        <v>-12.99999999997673</v>
      </c>
      <c r="O9" s="7" t="inlineStr">
        <is>
          <t>2026-07-10</t>
        </is>
      </c>
      <c r="P9" s="7" t="n">
        <v>39.00000000003411</v>
      </c>
      <c r="Q9" s="7" t="inlineStr">
        <is>
          <t>2026-08-18</t>
        </is>
      </c>
      <c r="R9" s="11" t="n">
        <v>73.75886524822694</v>
      </c>
      <c r="S9" s="11" t="n">
        <v>26.24113475177306</v>
      </c>
      <c r="T9" s="7" t="n">
        <v>16.12903225804122</v>
      </c>
      <c r="U9" s="7" t="n">
        <v>35.87096774196961</v>
      </c>
      <c r="V9" s="7" t="n">
        <v>-1.920967741935894</v>
      </c>
      <c r="W9" s="7" t="n">
        <v>-2.120967741934534</v>
      </c>
      <c r="X9" s="11" t="n">
        <v>5.44870574868037</v>
      </c>
      <c r="Y9" s="7" t="inlineStr">
        <is>
          <t>NEUTRAL</t>
        </is>
      </c>
      <c r="Z9" s="7" t="inlineStr">
        <is>
          <t>No tail signal</t>
        </is>
      </c>
      <c r="AA9" s="7" t="n">
        <v>0.8177945382944478</v>
      </c>
      <c r="AB9" s="7" t="b">
        <v>1</v>
      </c>
      <c r="AC9" s="7" t="inlineStr">
        <is>
          <t>UNSTABLE — denominator crosses zero in sample</t>
        </is>
      </c>
    </row>
    <row r="10">
      <c r="A10" s="8" t="inlineStr">
        <is>
          <t>EU_BUILD_DIV_EU_CUT</t>
        </is>
      </c>
      <c r="B10" s="8" t="inlineStr">
        <is>
          <t>EU_BUILD / EU_CUT</t>
        </is>
      </c>
      <c r="C10" s="8" t="inlineStr">
        <is>
          <t>Dimensionless ratio; use only when denominator is safely away from zero</t>
        </is>
      </c>
      <c r="D10" s="8" t="n">
        <v>137</v>
      </c>
      <c r="E10" s="8" t="n">
        <v>-0.4390243902439227</v>
      </c>
      <c r="F10" s="8" t="n">
        <v>3.615384615384338</v>
      </c>
      <c r="G10" s="8" t="n">
        <v>3.592592592592831</v>
      </c>
      <c r="H10" s="8" t="n">
        <v>-0.02279202279150727</v>
      </c>
      <c r="I10" s="8" t="n">
        <v>4.031616982836753</v>
      </c>
      <c r="J10" s="8" t="n">
        <v>1.695528499161994</v>
      </c>
      <c r="K10" s="8" t="n">
        <v>0.3636363636363402</v>
      </c>
      <c r="L10" s="8" t="n">
        <v>3.748662006781977</v>
      </c>
      <c r="M10" s="10" t="n">
        <v>0.5060643210827543</v>
      </c>
      <c r="N10" s="8" t="n">
        <v>-6.499999999996447</v>
      </c>
      <c r="O10" s="8" t="inlineStr">
        <is>
          <t>2026-07-09</t>
        </is>
      </c>
      <c r="P10" s="8" t="n">
        <v>18.99999999999005</v>
      </c>
      <c r="Q10" s="8" t="inlineStr">
        <is>
          <t>2026-08-21</t>
        </is>
      </c>
      <c r="R10" s="10" t="n">
        <v>75.18248175182481</v>
      </c>
      <c r="S10" s="10" t="n">
        <v>24.81751824817519</v>
      </c>
      <c r="T10" s="8" t="n">
        <v>10.09259259258928</v>
      </c>
      <c r="U10" s="8" t="n">
        <v>15.40740740739722</v>
      </c>
      <c r="V10" s="8" t="n">
        <v>-0.7987117552329934</v>
      </c>
      <c r="W10" s="8" t="n">
        <v>-1.07407407407352</v>
      </c>
      <c r="X10" s="10" t="n">
        <v>2.359902056619367</v>
      </c>
      <c r="Y10" s="8" t="inlineStr">
        <is>
          <t>NEUTRAL</t>
        </is>
      </c>
      <c r="Z10" s="8" t="inlineStr">
        <is>
          <t>No tail signal</t>
        </is>
      </c>
      <c r="AA10" s="8" t="n">
        <v>1.897064093430836</v>
      </c>
      <c r="AB10" s="8" t="b">
        <v>1</v>
      </c>
      <c r="AC10" s="8" t="inlineStr">
        <is>
          <t>UNSTABLE — denominator crosses zero in sample</t>
        </is>
      </c>
    </row>
    <row r="11">
      <c r="A11" s="7" t="inlineStr">
        <is>
          <t>EU_CUT_DIV_GB_BUILD</t>
        </is>
      </c>
      <c r="B11" s="7" t="inlineStr">
        <is>
          <t>EU_CUT / GB_BUILD</t>
        </is>
      </c>
      <c r="C11" s="7" t="inlineStr">
        <is>
          <t>Dimensionless ratio; use only when denominator is safely away from zero</t>
        </is>
      </c>
      <c r="D11" s="7" t="n">
        <v>137</v>
      </c>
      <c r="E11" s="7" t="n">
        <v>-3.153846153846238</v>
      </c>
      <c r="F11" s="7" t="n">
        <v>0.2300884955752393</v>
      </c>
      <c r="G11" s="7" t="n">
        <v>0.2368421052631448</v>
      </c>
      <c r="H11" s="7" t="n">
        <v>0.006753609687905504</v>
      </c>
      <c r="I11" s="7" t="n">
        <v>3.390688259109383</v>
      </c>
      <c r="J11" s="7" t="n">
        <v>0.2414170237369435</v>
      </c>
      <c r="K11" s="7" t="n">
        <v>0.15</v>
      </c>
      <c r="L11" s="7" t="n">
        <v>1.91166980866466</v>
      </c>
      <c r="M11" s="11" t="n">
        <v>-0.002393153071237942</v>
      </c>
      <c r="N11" s="7" t="n">
        <v>-8.000000000005684</v>
      </c>
      <c r="O11" s="7" t="inlineStr">
        <is>
          <t>2026-05-14</t>
        </is>
      </c>
      <c r="P11" s="7" t="n">
        <v>8.500000000008527</v>
      </c>
      <c r="Q11" s="7" t="inlineStr">
        <is>
          <t>2026-06-03</t>
        </is>
      </c>
      <c r="R11" s="11" t="n">
        <v>61.31386861313869</v>
      </c>
      <c r="S11" s="11" t="n">
        <v>38.68613138686131</v>
      </c>
      <c r="T11" s="7" t="n">
        <v>8.236842105268829</v>
      </c>
      <c r="U11" s="7" t="n">
        <v>8.263157894745381</v>
      </c>
      <c r="V11" s="7" t="n">
        <v>0.04026090868193055</v>
      </c>
      <c r="W11" s="7" t="n">
        <v>0.08684210526314479</v>
      </c>
      <c r="X11" s="11" t="n">
        <v>2.497369472288409</v>
      </c>
      <c r="Y11" s="7" t="inlineStr">
        <is>
          <t>NEUTRAL</t>
        </is>
      </c>
      <c r="Z11" s="7" t="inlineStr">
        <is>
          <t>No tail signal</t>
        </is>
      </c>
      <c r="AA11" s="7" t="n">
        <v>0.004574918473798678</v>
      </c>
      <c r="AB11" s="7" t="b">
        <v>1</v>
      </c>
      <c r="AC11" s="7" t="inlineStr">
        <is>
          <t>UNSTABLE — denominator crosses zero in sample</t>
        </is>
      </c>
    </row>
    <row r="12">
      <c r="A12" s="8" t="inlineStr">
        <is>
          <t>EU_CUT_DIV_GB_CUT</t>
        </is>
      </c>
      <c r="B12" s="8" t="inlineStr">
        <is>
          <t>EU_CUT / GB_CUT</t>
        </is>
      </c>
      <c r="C12" s="8" t="inlineStr">
        <is>
          <t>Dimensionless ratio; use only when denominator is safely away from zero</t>
        </is>
      </c>
      <c r="D12" s="8" t="n">
        <v>141</v>
      </c>
      <c r="E12" s="8" t="n">
        <v>1.138888888888836</v>
      </c>
      <c r="F12" s="8" t="n">
        <v>0.8125000000000777</v>
      </c>
      <c r="G12" s="8" t="n">
        <v>0.8709677419354188</v>
      </c>
      <c r="H12" s="8" t="n">
        <v>0.0584677419353411</v>
      </c>
      <c r="I12" s="8" t="n">
        <v>-0.2679211469534174</v>
      </c>
      <c r="J12" s="8" t="n">
        <v>0.8129355484112821</v>
      </c>
      <c r="K12" s="8" t="n">
        <v>0.6666666666666666</v>
      </c>
      <c r="L12" s="8" t="n">
        <v>1.971447987106104</v>
      </c>
      <c r="M12" s="10" t="n">
        <v>0.02943632999890724</v>
      </c>
      <c r="N12" s="8" t="n">
        <v>-7.999999999996447</v>
      </c>
      <c r="O12" s="8" t="inlineStr">
        <is>
          <t>2026-04-16</t>
        </is>
      </c>
      <c r="P12" s="8" t="n">
        <v>18.00000000001714</v>
      </c>
      <c r="Q12" s="8" t="inlineStr">
        <is>
          <t>2026-04-20</t>
        </is>
      </c>
      <c r="R12" s="10" t="n">
        <v>63.82978723404256</v>
      </c>
      <c r="S12" s="10" t="n">
        <v>36.17021276595744</v>
      </c>
      <c r="T12" s="8" t="n">
        <v>8.870967741931866</v>
      </c>
      <c r="U12" s="8" t="n">
        <v>17.12903225808172</v>
      </c>
      <c r="V12" s="8" t="n">
        <v>-0.2790322580647374</v>
      </c>
      <c r="W12" s="8" t="n">
        <v>-0.254032258064448</v>
      </c>
      <c r="X12" s="10" t="n">
        <v>2.547025561137178</v>
      </c>
      <c r="Y12" s="8" t="inlineStr">
        <is>
          <t>NEUTRAL</t>
        </is>
      </c>
      <c r="Z12" s="8" t="inlineStr">
        <is>
          <t>No tail signal</t>
        </is>
      </c>
      <c r="AA12" s="8" t="n">
        <v>0.05803219352413669</v>
      </c>
      <c r="AB12" s="8" t="b">
        <v>1</v>
      </c>
      <c r="AC12" s="8" t="inlineStr">
        <is>
          <t>UNSTABLE — denominator crosses zero in sample</t>
        </is>
      </c>
    </row>
    <row r="13">
      <c r="A13" s="7" t="inlineStr">
        <is>
          <t>EU_CUT_DIV_EU_BUILD</t>
        </is>
      </c>
      <c r="B13" s="7" t="inlineStr">
        <is>
          <t>EU_CUT / EU_BUILD</t>
        </is>
      </c>
      <c r="C13" s="7" t="inlineStr">
        <is>
          <t>Dimensionless ratio; use only when denominator is safely away from zero</t>
        </is>
      </c>
      <c r="D13" s="7" t="n">
        <v>136</v>
      </c>
      <c r="E13" s="7" t="n">
        <v>-2.277777777777672</v>
      </c>
      <c r="F13" s="7" t="n">
        <v>0.2765957446808723</v>
      </c>
      <c r="G13" s="7" t="n">
        <v>0.2783505154638991</v>
      </c>
      <c r="H13" s="7" t="n">
        <v>0.001754770783026827</v>
      </c>
      <c r="I13" s="7" t="n">
        <v>2.556128293241572</v>
      </c>
      <c r="J13" s="7" t="n">
        <v>0.1224578455025824</v>
      </c>
      <c r="K13" s="7" t="n">
        <v>0.1565335753176096</v>
      </c>
      <c r="L13" s="7" t="n">
        <v>3.586471674768565</v>
      </c>
      <c r="M13" s="11" t="n">
        <v>0.04346686216931477</v>
      </c>
      <c r="N13" s="7" t="n">
        <v>-18.00000000001714</v>
      </c>
      <c r="O13" s="7" t="inlineStr">
        <is>
          <t>2026-04-20</t>
        </is>
      </c>
      <c r="P13" s="7" t="n">
        <v>13.00000000001137</v>
      </c>
      <c r="Q13" s="7" t="inlineStr">
        <is>
          <t>2026-04-21</t>
        </is>
      </c>
      <c r="R13" s="11" t="n">
        <v>64.70588235294117</v>
      </c>
      <c r="S13" s="11" t="n">
        <v>35.29411764705883</v>
      </c>
      <c r="T13" s="7" t="n">
        <v>18.27835051548104</v>
      </c>
      <c r="U13" s="7" t="n">
        <v>12.72164948454747</v>
      </c>
      <c r="V13" s="7" t="n">
        <v>0.05062774318665772</v>
      </c>
      <c r="W13" s="7" t="n">
        <v>0.06406480117817032</v>
      </c>
      <c r="X13" s="11" t="n">
        <v>4.601733006420284</v>
      </c>
      <c r="Y13" s="7" t="inlineStr">
        <is>
          <t>NEUTRAL</t>
        </is>
      </c>
      <c r="Z13" s="7" t="inlineStr">
        <is>
          <t>No tail signal</t>
        </is>
      </c>
      <c r="AA13" s="7" t="n">
        <v>0.1558926699613167</v>
      </c>
      <c r="AB13" s="7" t="b">
        <v>1</v>
      </c>
      <c r="AC13" s="7" t="inlineStr">
        <is>
          <t>UNSTABLE — denominator crosses zero in sample</t>
        </is>
      </c>
    </row>
  </sheetData>
  <autoFilter ref="A1:AC13"/>
  <conditionalFormatting sqref="R2:R1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3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4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5" customWidth="1" min="3" max="3"/>
    <col width="13" customWidth="1" min="4" max="4"/>
    <col width="15" customWidth="1" min="5" max="5"/>
    <col width="13" customWidth="1" min="6" max="6"/>
    <col width="21" customWidth="1" min="7" max="7"/>
    <col width="23" customWidth="1" min="8" max="8"/>
    <col width="42" customWidth="1" min="9" max="9"/>
    <col width="5" customWidth="1" min="10" max="10"/>
    <col width="25" customWidth="1" min="11" max="11"/>
    <col width="21" customWidth="1" min="12" max="12"/>
    <col width="20" customWidth="1" min="13" max="13"/>
    <col width="25" customWidth="1" min="14" max="14"/>
    <col width="23" customWidth="1" min="15" max="15"/>
    <col width="21" customWidth="1" min="16" max="16"/>
    <col width="21" customWidth="1" min="17" max="17"/>
    <col width="20" customWidth="1" min="18" max="18"/>
    <col width="21" customWidth="1" min="19" max="19"/>
    <col width="21" customWidth="1" min="20" max="20"/>
    <col width="12" customWidth="1" min="21" max="21"/>
    <col width="20" customWidth="1" min="22" max="22"/>
    <col width="12" customWidth="1" min="23" max="23"/>
    <col width="20" customWidth="1" min="24" max="24"/>
    <col width="20" customWidth="1" min="25" max="25"/>
    <col width="20" customWidth="1" min="26" max="26"/>
    <col width="20" customWidth="1" min="27" max="27"/>
    <col width="25" customWidth="1" min="28" max="28"/>
    <col width="21" customWidth="1" min="29" max="29"/>
    <col width="20" customWidth="1" min="30" max="30"/>
    <col width="14" customWidth="1" min="31" max="31"/>
    <col width="45" customWidth="1" min="32" max="32"/>
    <col width="20" customWidth="1" min="33" max="33"/>
    <col width="20" customWidth="1" min="34" max="34"/>
    <col width="42" customWidth="1" min="35" max="35"/>
    <col width="42" customWidth="1" min="36" max="36"/>
  </cols>
  <sheetData>
    <row r="1" ht="34" customHeight="1">
      <c r="A1" s="6" t="inlineStr">
        <is>
          <t>combo_id</t>
        </is>
      </c>
      <c r="B1" s="6" t="inlineStr">
        <is>
          <t>expression</t>
        </is>
      </c>
      <c r="C1" s="6" t="inlineStr">
        <is>
          <t>coef_GB_BUILD</t>
        </is>
      </c>
      <c r="D1" s="6" t="inlineStr">
        <is>
          <t>coef_GB_CUT</t>
        </is>
      </c>
      <c r="E1" s="6" t="inlineStr">
        <is>
          <t>coef_EU_BUILD</t>
        </is>
      </c>
      <c r="F1" s="6" t="inlineStr">
        <is>
          <t>coef_EU_CUT</t>
        </is>
      </c>
      <c r="G1" s="6" t="inlineStr">
        <is>
          <t>primitive_leg_count</t>
        </is>
      </c>
      <c r="H1" s="6" t="inlineStr">
        <is>
          <t>gross_primitive_units</t>
        </is>
      </c>
      <c r="I1" s="6" t="inlineStr">
        <is>
          <t>definition</t>
        </is>
      </c>
      <c r="J1" s="6" t="inlineStr">
        <is>
          <t>n</t>
        </is>
      </c>
      <c r="K1" s="6" t="inlineStr">
        <is>
          <t>start_bp</t>
        </is>
      </c>
      <c r="L1" s="6" t="inlineStr">
        <is>
          <t>previous_bp</t>
        </is>
      </c>
      <c r="M1" s="6" t="inlineStr">
        <is>
          <t>current_bp</t>
        </is>
      </c>
      <c r="N1" s="6" t="inlineStr">
        <is>
          <t>change_1d_bp</t>
        </is>
      </c>
      <c r="O1" s="6" t="inlineStr">
        <is>
          <t>change_since_start_bp</t>
        </is>
      </c>
      <c r="P1" s="6" t="inlineStr">
        <is>
          <t>mean_bp</t>
        </is>
      </c>
      <c r="Q1" s="6" t="inlineStr">
        <is>
          <t>median_bp</t>
        </is>
      </c>
      <c r="R1" s="6" t="inlineStr">
        <is>
          <t>std_bp</t>
        </is>
      </c>
      <c r="S1" s="6" t="inlineStr">
        <is>
          <t>zscore</t>
        </is>
      </c>
      <c r="T1" s="6" t="inlineStr">
        <is>
          <t>min_bp</t>
        </is>
      </c>
      <c r="U1" s="6" t="inlineStr">
        <is>
          <t>min_date</t>
        </is>
      </c>
      <c r="V1" s="6" t="inlineStr">
        <is>
          <t>max_bp</t>
        </is>
      </c>
      <c r="W1" s="6" t="inlineStr">
        <is>
          <t>max_date</t>
        </is>
      </c>
      <c r="X1" s="6" t="inlineStr">
        <is>
          <t>percentile</t>
        </is>
      </c>
      <c r="Y1" s="6" t="inlineStr">
        <is>
          <t>tail_percentile</t>
        </is>
      </c>
      <c r="Z1" s="6" t="inlineStr">
        <is>
          <t>distance_to_min_bp</t>
        </is>
      </c>
      <c r="AA1" s="6" t="inlineStr">
        <is>
          <t>distance_to_max_bp</t>
        </is>
      </c>
      <c r="AB1" s="6" t="inlineStr">
        <is>
          <t>change_5d_bp</t>
        </is>
      </c>
      <c r="AC1" s="6" t="inlineStr">
        <is>
          <t>change_20d_bp</t>
        </is>
      </c>
      <c r="AD1" s="6" t="inlineStr">
        <is>
          <t>daily_vol_bp</t>
        </is>
      </c>
      <c r="AE1" s="6" t="inlineStr">
        <is>
          <t>flag</t>
        </is>
      </c>
      <c r="AF1" s="6" t="inlineStr">
        <is>
          <t>mean_reversion_action</t>
        </is>
      </c>
      <c r="AG1" s="6" t="inlineStr">
        <is>
          <t>pnl_to_mean_bp</t>
        </is>
      </c>
      <c r="AH1" s="6" t="inlineStr">
        <is>
          <t>mr_trade_direction</t>
        </is>
      </c>
      <c r="AI1" s="6" t="inlineStr">
        <is>
          <t>mr_trade_legs</t>
        </is>
      </c>
      <c r="AJ1" s="6" t="inlineStr">
        <is>
          <t>contract_rate_weights</t>
        </is>
      </c>
    </row>
    <row r="2">
      <c r="A2" s="8" t="inlineStr">
        <is>
          <t>COMBO_30</t>
        </is>
      </c>
      <c r="B2" s="8" t="inlineStr">
        <is>
          <t>GB_CUT + EU_BUILD − EU_CUT</t>
        </is>
      </c>
      <c r="C2" s="8" t="n">
        <v>0</v>
      </c>
      <c r="D2" s="8" t="n">
        <v>1</v>
      </c>
      <c r="E2" s="8" t="n">
        <v>1</v>
      </c>
      <c r="F2" s="8" t="n">
        <v>-1</v>
      </c>
      <c r="G2" s="8" t="n">
        <v>3</v>
      </c>
      <c r="H2" s="8" t="n">
        <v>3</v>
      </c>
      <c r="I2" s="8" t="inlineStr">
        <is>
          <t>Unique ±1/0 linear combination; inverse represented by trade direction</t>
        </is>
      </c>
      <c r="J2" s="8" t="n">
        <v>141</v>
      </c>
      <c r="K2" s="10" t="n">
        <v>11.49999999999949</v>
      </c>
      <c r="L2" s="10" t="n">
        <v>49.99999999999858</v>
      </c>
      <c r="M2" s="10" t="n">
        <v>50.50000000000097</v>
      </c>
      <c r="N2" s="10" t="n">
        <v>0.5000000000023874</v>
      </c>
      <c r="O2" s="10" t="n">
        <v>39.00000000000148</v>
      </c>
      <c r="P2" s="10" t="n">
        <v>13.80496453900702</v>
      </c>
      <c r="Q2" s="10" t="n">
        <v>10.5000000000004</v>
      </c>
      <c r="R2" s="10" t="n">
        <v>11.52803617423404</v>
      </c>
      <c r="S2" s="10" t="n">
        <v>3.183112449196671</v>
      </c>
      <c r="T2" s="10" t="n">
        <v>-1.500000000000146</v>
      </c>
      <c r="U2" s="8" t="inlineStr">
        <is>
          <t>2026-06-26</t>
        </is>
      </c>
      <c r="V2" s="10" t="n">
        <v>56.00000000000031</v>
      </c>
      <c r="W2" s="8" t="inlineStr">
        <is>
          <t>2026-09-18</t>
        </is>
      </c>
      <c r="X2" s="10" t="n">
        <v>99.29078014184397</v>
      </c>
      <c r="Y2" s="10" t="n">
        <v>0.7092198581560325</v>
      </c>
      <c r="Z2" s="10" t="n">
        <v>52.00000000000111</v>
      </c>
      <c r="AA2" s="10" t="n">
        <v>5.499999999999346</v>
      </c>
      <c r="AB2" s="10" t="n">
        <v>1.500000000001478</v>
      </c>
      <c r="AC2" s="10" t="n">
        <v>30.00000000000114</v>
      </c>
      <c r="AD2" s="10" t="n">
        <v>2.730899283046117</v>
      </c>
      <c r="AE2" s="18" t="inlineStr">
        <is>
          <t>EXTREME HIGH</t>
        </is>
      </c>
      <c r="AF2" s="8" t="inlineStr">
        <is>
          <t>SHORT level / receive positive-rate weights</t>
        </is>
      </c>
      <c r="AG2" s="10" t="n">
        <v>36.69503546099394</v>
      </c>
      <c r="AH2" s="8" t="inlineStr">
        <is>
          <t>SHORT</t>
        </is>
      </c>
      <c r="AI2" s="8" t="inlineStr">
        <is>
          <t>RECEIVE J8U27; PAY J8Z28; PAY IMZ26; RECEIVE IMZ28</t>
        </is>
      </c>
      <c r="AJ2" s="8" t="inlineStr">
        <is>
          <t>J8U27 +1, J8Z28 -1, IMZ26 -1, IMZ28 +1</t>
        </is>
      </c>
    </row>
    <row r="3">
      <c r="A3" s="7" t="inlineStr">
        <is>
          <t>COMBO_31</t>
        </is>
      </c>
      <c r="B3" s="7" t="inlineStr">
        <is>
          <t>GB_CUT + EU_CUT</t>
        </is>
      </c>
      <c r="C3" s="7" t="n">
        <v>0</v>
      </c>
      <c r="D3" s="7" t="n">
        <v>1</v>
      </c>
      <c r="E3" s="7" t="n">
        <v>0</v>
      </c>
      <c r="F3" s="7" t="n">
        <v>1</v>
      </c>
      <c r="G3" s="7" t="n">
        <v>2</v>
      </c>
      <c r="H3" s="7" t="n">
        <v>2</v>
      </c>
      <c r="I3" s="7" t="inlineStr">
        <is>
          <t>Unique ±1/0 linear combination; inverse represented by trade direction</t>
        </is>
      </c>
      <c r="J3" s="7" t="n">
        <v>141</v>
      </c>
      <c r="K3" s="11" t="n">
        <v>-38.50000000000051</v>
      </c>
      <c r="L3" s="11" t="n">
        <v>29.00000000000063</v>
      </c>
      <c r="M3" s="11" t="n">
        <v>28.9999999999992</v>
      </c>
      <c r="N3" s="11" t="n">
        <v>-1.4210854715202e-12</v>
      </c>
      <c r="O3" s="11" t="n">
        <v>67.49999999999972</v>
      </c>
      <c r="P3" s="11" t="n">
        <v>7.528368794326258</v>
      </c>
      <c r="Q3" s="11" t="n">
        <v>9.000000000000341</v>
      </c>
      <c r="R3" s="11" t="n">
        <v>13.49017804733258</v>
      </c>
      <c r="S3" s="11" t="n">
        <v>1.591649208063532</v>
      </c>
      <c r="T3" s="11" t="n">
        <v>-38.50000000000051</v>
      </c>
      <c r="U3" s="7" t="inlineStr">
        <is>
          <t>2026-03-02</t>
        </is>
      </c>
      <c r="V3" s="11" t="n">
        <v>32.50000000000028</v>
      </c>
      <c r="W3" s="7" t="inlineStr">
        <is>
          <t>2026-09-14</t>
        </is>
      </c>
      <c r="X3" s="11" t="n">
        <v>98.58156028368793</v>
      </c>
      <c r="Y3" s="11" t="n">
        <v>1.418439716312065</v>
      </c>
      <c r="Z3" s="11" t="n">
        <v>67.49999999999972</v>
      </c>
      <c r="AA3" s="11" t="n">
        <v>3.50000000000108</v>
      </c>
      <c r="AB3" s="11" t="n">
        <v>7.499999999998863</v>
      </c>
      <c r="AC3" s="11" t="n">
        <v>20.49999999999841</v>
      </c>
      <c r="AD3" s="11" t="n">
        <v>5.54167036939618</v>
      </c>
      <c r="AE3" s="18" t="inlineStr">
        <is>
          <t>EXTREME HIGH</t>
        </is>
      </c>
      <c r="AF3" s="7" t="inlineStr">
        <is>
          <t>SHORT level / receive positive-rate weights</t>
        </is>
      </c>
      <c r="AG3" s="11" t="n">
        <v>21.47163120567295</v>
      </c>
      <c r="AH3" s="7" t="inlineStr">
        <is>
          <t>SHORT</t>
        </is>
      </c>
      <c r="AI3" s="7" t="inlineStr">
        <is>
          <t>RECEIVE J8U27; PAY J8Z28; RECEIVE IMU27; PAY IMZ28</t>
        </is>
      </c>
      <c r="AJ3" s="7" t="inlineStr">
        <is>
          <t>J8U27 +1, J8Z28 -1, IMU27 +1, IMZ28 -1</t>
        </is>
      </c>
    </row>
    <row r="4">
      <c r="A4" s="8" t="inlineStr">
        <is>
          <t>COMBO_40</t>
        </is>
      </c>
      <c r="B4" s="8" t="inlineStr">
        <is>
          <t>EU_CUT</t>
        </is>
      </c>
      <c r="C4" s="8" t="n">
        <v>0</v>
      </c>
      <c r="D4" s="8" t="n">
        <v>0</v>
      </c>
      <c r="E4" s="8" t="n">
        <v>0</v>
      </c>
      <c r="F4" s="8" t="n">
        <v>1</v>
      </c>
      <c r="G4" s="8" t="n">
        <v>1</v>
      </c>
      <c r="H4" s="8" t="n">
        <v>1</v>
      </c>
      <c r="I4" s="8" t="inlineStr">
        <is>
          <t>Unique ±1/0 linear combination; inverse represented by trade direction</t>
        </is>
      </c>
      <c r="J4" s="8" t="n">
        <v>141</v>
      </c>
      <c r="K4" s="10" t="n">
        <v>-20.49999999999983</v>
      </c>
      <c r="L4" s="10" t="n">
        <v>13.00000000000097</v>
      </c>
      <c r="M4" s="10" t="n">
        <v>13.49999999999909</v>
      </c>
      <c r="N4" s="10" t="n">
        <v>0.4999999999981242</v>
      </c>
      <c r="O4" s="10" t="n">
        <v>33.99999999999892</v>
      </c>
      <c r="P4" s="10" t="n">
        <v>1.404255319148949</v>
      </c>
      <c r="Q4" s="10" t="n">
        <v>2.999999999998693</v>
      </c>
      <c r="R4" s="10" t="n">
        <v>6.634572570368818</v>
      </c>
      <c r="S4" s="10" t="n">
        <v>1.823138499512672</v>
      </c>
      <c r="T4" s="10" t="n">
        <v>-21.0000000000008</v>
      </c>
      <c r="U4" s="8" t="inlineStr">
        <is>
          <t>2026-03-04</t>
        </is>
      </c>
      <c r="V4" s="10" t="n">
        <v>17.00000000000017</v>
      </c>
      <c r="W4" s="8" t="inlineStr">
        <is>
          <t>2026-09-14</t>
        </is>
      </c>
      <c r="X4" s="10" t="n">
        <v>98.58156028368793</v>
      </c>
      <c r="Y4" s="10" t="n">
        <v>1.418439716312065</v>
      </c>
      <c r="Z4" s="10" t="n">
        <v>34.49999999999989</v>
      </c>
      <c r="AA4" s="10" t="n">
        <v>3.50000000000108</v>
      </c>
      <c r="AB4" s="10" t="n">
        <v>1.999999999998181</v>
      </c>
      <c r="AC4" s="10" t="n">
        <v>8.99999999999892</v>
      </c>
      <c r="AD4" s="10" t="n">
        <v>2.706563906669147</v>
      </c>
      <c r="AE4" s="18" t="inlineStr">
        <is>
          <t>EXTREME HIGH</t>
        </is>
      </c>
      <c r="AF4" s="8" t="inlineStr">
        <is>
          <t>SHORT level / receive positive-rate weights</t>
        </is>
      </c>
      <c r="AG4" s="10" t="n">
        <v>12.09574468085014</v>
      </c>
      <c r="AH4" s="8" t="inlineStr">
        <is>
          <t>SHORT</t>
        </is>
      </c>
      <c r="AI4" s="8" t="inlineStr">
        <is>
          <t>RECEIVE IMU27; PAY IMZ28</t>
        </is>
      </c>
      <c r="AJ4" s="8" t="inlineStr">
        <is>
          <t>IMU27 +1, IMZ28 -1</t>
        </is>
      </c>
    </row>
    <row r="5">
      <c r="A5" s="7" t="inlineStr">
        <is>
          <t>COMBO_08</t>
        </is>
      </c>
      <c r="B5" s="7" t="inlineStr">
        <is>
          <t>GB_BUILD + GB_CUT − EU_BUILD</t>
        </is>
      </c>
      <c r="C5" s="7" t="n">
        <v>1</v>
      </c>
      <c r="D5" s="7" t="n">
        <v>1</v>
      </c>
      <c r="E5" s="7" t="n">
        <v>-1</v>
      </c>
      <c r="F5" s="7" t="n">
        <v>0</v>
      </c>
      <c r="G5" s="7" t="n">
        <v>3</v>
      </c>
      <c r="H5" s="7" t="n">
        <v>3</v>
      </c>
      <c r="I5" s="7" t="inlineStr">
        <is>
          <t>Unique ±1/0 linear combination; inverse represented by trade direction</t>
        </is>
      </c>
      <c r="J5" s="7" t="n">
        <v>141</v>
      </c>
      <c r="K5" s="11" t="n">
        <v>-20.50000000000125</v>
      </c>
      <c r="L5" s="11" t="n">
        <v>25.49999999999955</v>
      </c>
      <c r="M5" s="11" t="n">
        <v>23.99999999999949</v>
      </c>
      <c r="N5" s="11" t="n">
        <v>-1.500000000000057</v>
      </c>
      <c r="O5" s="11" t="n">
        <v>44.50000000000074</v>
      </c>
      <c r="P5" s="11" t="n">
        <v>6.539007092198632</v>
      </c>
      <c r="Q5" s="11" t="n">
        <v>8.99999999999892</v>
      </c>
      <c r="R5" s="11" t="n">
        <v>8.865476967667052</v>
      </c>
      <c r="S5" s="11" t="n">
        <v>1.969549181784826</v>
      </c>
      <c r="T5" s="11" t="n">
        <v>-20.50000000000125</v>
      </c>
      <c r="U5" s="7" t="inlineStr">
        <is>
          <t>2026-03-02</t>
        </is>
      </c>
      <c r="V5" s="11" t="n">
        <v>25.49999999999955</v>
      </c>
      <c r="W5" s="7" t="inlineStr">
        <is>
          <t>2026-09-21</t>
        </is>
      </c>
      <c r="X5" s="11" t="n">
        <v>98.58156028368793</v>
      </c>
      <c r="Y5" s="11" t="n">
        <v>1.418439716312065</v>
      </c>
      <c r="Z5" s="11" t="n">
        <v>44.50000000000074</v>
      </c>
      <c r="AA5" s="11" t="n">
        <v>1.500000000000057</v>
      </c>
      <c r="AB5" s="11" t="n">
        <v>6.000000000001648</v>
      </c>
      <c r="AC5" s="11" t="n">
        <v>10.9999999999971</v>
      </c>
      <c r="AD5" s="11" t="n">
        <v>3.541232315223223</v>
      </c>
      <c r="AE5" s="18" t="inlineStr">
        <is>
          <t>EXTREME HIGH</t>
        </is>
      </c>
      <c r="AF5" s="7" t="inlineStr">
        <is>
          <t>SHORT level / receive positive-rate weights</t>
        </is>
      </c>
      <c r="AG5" s="11" t="n">
        <v>17.46099290780086</v>
      </c>
      <c r="AH5" s="7" t="inlineStr">
        <is>
          <t>SHORT</t>
        </is>
      </c>
      <c r="AI5" s="7" t="inlineStr">
        <is>
          <t>PAY J8Z26; RECEIVE 2× J8U27; PAY J8Z28; RECEIVE IMZ26; PAY IMU27</t>
        </is>
      </c>
      <c r="AJ5" s="7" t="inlineStr">
        <is>
          <t>J8Z26 -1, J8U27 +2, J8Z28 -1, IMZ26 +1, IMU27 -1</t>
        </is>
      </c>
    </row>
    <row r="6">
      <c r="A6" s="8" t="inlineStr">
        <is>
          <t>COMBO_04</t>
        </is>
      </c>
      <c r="B6" s="8" t="inlineStr">
        <is>
          <t>GB_BUILD + GB_CUT + EU_CUT</t>
        </is>
      </c>
      <c r="C6" s="8" t="n">
        <v>1</v>
      </c>
      <c r="D6" s="8" t="n">
        <v>1</v>
      </c>
      <c r="E6" s="8" t="n">
        <v>0</v>
      </c>
      <c r="F6" s="8" t="n">
        <v>1</v>
      </c>
      <c r="G6" s="8" t="n">
        <v>3</v>
      </c>
      <c r="H6" s="8" t="n">
        <v>3</v>
      </c>
      <c r="I6" s="8" t="inlineStr">
        <is>
          <t>Unique ±1/0 linear combination; inverse represented by trade direction</t>
        </is>
      </c>
      <c r="J6" s="8" t="n">
        <v>141</v>
      </c>
      <c r="K6" s="10" t="n">
        <v>-32.00000000000074</v>
      </c>
      <c r="L6" s="10" t="n">
        <v>85.5000000000004</v>
      </c>
      <c r="M6" s="10" t="n">
        <v>85.99999999999852</v>
      </c>
      <c r="N6" s="10" t="n">
        <v>0.4999999999981242</v>
      </c>
      <c r="O6" s="10" t="n">
        <v>117.9999999999993</v>
      </c>
      <c r="P6" s="10" t="n">
        <v>17.02836879432625</v>
      </c>
      <c r="Q6" s="10" t="n">
        <v>14.4999999999996</v>
      </c>
      <c r="R6" s="10" t="n">
        <v>24.83069622820329</v>
      </c>
      <c r="S6" s="10" t="n">
        <v>2.777676089780062</v>
      </c>
      <c r="T6" s="10" t="n">
        <v>-32.00000000000074</v>
      </c>
      <c r="U6" s="8" t="inlineStr">
        <is>
          <t>2026-03-02</t>
        </is>
      </c>
      <c r="V6" s="10" t="n">
        <v>92.00000000000017</v>
      </c>
      <c r="W6" s="8" t="inlineStr">
        <is>
          <t>2026-09-14</t>
        </is>
      </c>
      <c r="X6" s="10" t="n">
        <v>98.58156028368793</v>
      </c>
      <c r="Y6" s="10" t="n">
        <v>1.418439716312065</v>
      </c>
      <c r="Z6" s="10" t="n">
        <v>117.9999999999993</v>
      </c>
      <c r="AA6" s="10" t="n">
        <v>6.000000000001648</v>
      </c>
      <c r="AB6" s="10" t="n">
        <v>5.999999999998806</v>
      </c>
      <c r="AC6" s="10" t="n">
        <v>47.49999999999659</v>
      </c>
      <c r="AD6" s="10" t="n">
        <v>6.22396323870196</v>
      </c>
      <c r="AE6" s="18" t="inlineStr">
        <is>
          <t>EXTREME HIGH</t>
        </is>
      </c>
      <c r="AF6" s="8" t="inlineStr">
        <is>
          <t>SHORT level / receive positive-rate weights</t>
        </is>
      </c>
      <c r="AG6" s="10" t="n">
        <v>68.97163120567227</v>
      </c>
      <c r="AH6" s="8" t="inlineStr">
        <is>
          <t>SHORT</t>
        </is>
      </c>
      <c r="AI6" s="8" t="inlineStr">
        <is>
          <t>PAY J8Z26; RECEIVE 2× J8U27; PAY J8Z28; RECEIVE IMU27; PAY IMZ28</t>
        </is>
      </c>
      <c r="AJ6" s="8" t="inlineStr">
        <is>
          <t>J8Z26 -1, J8U27 +2, J8Z28 -1, IMU27 +1, IMZ28 -1</t>
        </is>
      </c>
    </row>
    <row r="7">
      <c r="A7" s="7" t="inlineStr">
        <is>
          <t>COMBO_03</t>
        </is>
      </c>
      <c r="B7" s="7" t="inlineStr">
        <is>
          <t>GB_BUILD + GB_CUT + EU_BUILD − EU_CUT</t>
        </is>
      </c>
      <c r="C7" s="7" t="n">
        <v>1</v>
      </c>
      <c r="D7" s="7" t="n">
        <v>1</v>
      </c>
      <c r="E7" s="7" t="n">
        <v>1</v>
      </c>
      <c r="F7" s="7" t="n">
        <v>-1</v>
      </c>
      <c r="G7" s="7" t="n">
        <v>4</v>
      </c>
      <c r="H7" s="7" t="n">
        <v>4</v>
      </c>
      <c r="I7" s="7" t="inlineStr">
        <is>
          <t>Unique ±1/0 linear combination; inverse represented by trade direction</t>
        </is>
      </c>
      <c r="J7" s="7" t="n">
        <v>141</v>
      </c>
      <c r="K7" s="11" t="n">
        <v>17.99999999999926</v>
      </c>
      <c r="L7" s="11" t="n">
        <v>106.4999999999984</v>
      </c>
      <c r="M7" s="11" t="n">
        <v>107.5000000000003</v>
      </c>
      <c r="N7" s="11" t="n">
        <v>1.000000000001933</v>
      </c>
      <c r="O7" s="11" t="n">
        <v>89.50000000000102</v>
      </c>
      <c r="P7" s="11" t="n">
        <v>23.30496453900701</v>
      </c>
      <c r="Q7" s="11" t="n">
        <v>12.99999999999955</v>
      </c>
      <c r="R7" s="11" t="n">
        <v>29.38049480824492</v>
      </c>
      <c r="S7" s="11" t="n">
        <v>2.865677927158871</v>
      </c>
      <c r="T7" s="11" t="n">
        <v>-12.00000000000045</v>
      </c>
      <c r="U7" s="7" t="inlineStr">
        <is>
          <t>2026-03-19</t>
        </is>
      </c>
      <c r="V7" s="11" t="n">
        <v>118.9999999999999</v>
      </c>
      <c r="W7" s="7" t="inlineStr">
        <is>
          <t>2026-09-18</t>
        </is>
      </c>
      <c r="X7" s="11" t="n">
        <v>98.58156028368793</v>
      </c>
      <c r="Y7" s="11" t="n">
        <v>1.418439716312065</v>
      </c>
      <c r="Z7" s="11" t="n">
        <v>119.5000000000007</v>
      </c>
      <c r="AA7" s="11" t="n">
        <v>11.49999999999966</v>
      </c>
      <c r="AB7" s="11" t="n">
        <v>1.4210854715202e-12</v>
      </c>
      <c r="AC7" s="11" t="n">
        <v>56.99999999999932</v>
      </c>
      <c r="AD7" s="11" t="n">
        <v>5.480530568609514</v>
      </c>
      <c r="AE7" s="18" t="inlineStr">
        <is>
          <t>EXTREME HIGH</t>
        </is>
      </c>
      <c r="AF7" s="7" t="inlineStr">
        <is>
          <t>SHORT level / receive positive-rate weights</t>
        </is>
      </c>
      <c r="AG7" s="11" t="n">
        <v>84.19503546099327</v>
      </c>
      <c r="AH7" s="7" t="inlineStr">
        <is>
          <t>SHORT</t>
        </is>
      </c>
      <c r="AI7" s="7" t="inlineStr">
        <is>
          <t>PAY J8Z26; RECEIVE 2× J8U27; PAY J8Z28; PAY IMZ26; RECEIVE IMZ28</t>
        </is>
      </c>
      <c r="AJ7" s="7" t="inlineStr">
        <is>
          <t>J8Z26 -1, J8U27 +2, J8Z28 -1, IMZ26 -1, IMZ28 +1</t>
        </is>
      </c>
    </row>
    <row r="8">
      <c r="A8" s="8" t="inlineStr">
        <is>
          <t>COMBO_06</t>
        </is>
      </c>
      <c r="B8" s="8" t="inlineStr">
        <is>
          <t>GB_BUILD + GB_CUT − EU_CUT</t>
        </is>
      </c>
      <c r="C8" s="8" t="n">
        <v>1</v>
      </c>
      <c r="D8" s="8" t="n">
        <v>1</v>
      </c>
      <c r="E8" s="8" t="n">
        <v>0</v>
      </c>
      <c r="F8" s="8" t="n">
        <v>-1</v>
      </c>
      <c r="G8" s="8" t="n">
        <v>3</v>
      </c>
      <c r="H8" s="8" t="n">
        <v>3</v>
      </c>
      <c r="I8" s="8" t="inlineStr">
        <is>
          <t>Unique ±1/0 linear combination; inverse represented by trade direction</t>
        </is>
      </c>
      <c r="J8" s="8" t="n">
        <v>141</v>
      </c>
      <c r="K8" s="10" t="n">
        <v>8.99999999999892</v>
      </c>
      <c r="L8" s="10" t="n">
        <v>59.49999999999847</v>
      </c>
      <c r="M8" s="10" t="n">
        <v>59.00000000000034</v>
      </c>
      <c r="N8" s="10" t="n">
        <v>-0.4999999999981242</v>
      </c>
      <c r="O8" s="10" t="n">
        <v>50.00000000000142</v>
      </c>
      <c r="P8" s="10" t="n">
        <v>14.21985815602835</v>
      </c>
      <c r="Q8" s="10" t="n">
        <v>9.000000000000252</v>
      </c>
      <c r="R8" s="10" t="n">
        <v>15.55570276622585</v>
      </c>
      <c r="S8" s="10" t="n">
        <v>2.878696161590173</v>
      </c>
      <c r="T8" s="10" t="n">
        <v>-6.500000000001194</v>
      </c>
      <c r="U8" s="8" t="inlineStr">
        <is>
          <t>2026-03-19</t>
        </is>
      </c>
      <c r="V8" s="10" t="n">
        <v>65.50000000000028</v>
      </c>
      <c r="W8" s="8" t="inlineStr">
        <is>
          <t>2026-09-18</t>
        </is>
      </c>
      <c r="X8" s="10" t="n">
        <v>98.58156028368793</v>
      </c>
      <c r="Y8" s="10" t="n">
        <v>1.418439716312065</v>
      </c>
      <c r="Z8" s="10" t="n">
        <v>65.50000000000153</v>
      </c>
      <c r="AA8" s="10" t="n">
        <v>6.499999999999943</v>
      </c>
      <c r="AB8" s="10" t="n">
        <v>2.000000000002444</v>
      </c>
      <c r="AC8" s="10" t="n">
        <v>29.49999999999875</v>
      </c>
      <c r="AD8" s="10" t="n">
        <v>3.517830079559534</v>
      </c>
      <c r="AE8" s="18" t="inlineStr">
        <is>
          <t>EXTREME HIGH</t>
        </is>
      </c>
      <c r="AF8" s="8" t="inlineStr">
        <is>
          <t>SHORT level / receive positive-rate weights</t>
        </is>
      </c>
      <c r="AG8" s="10" t="n">
        <v>44.78014184397199</v>
      </c>
      <c r="AH8" s="8" t="inlineStr">
        <is>
          <t>SHORT</t>
        </is>
      </c>
      <c r="AI8" s="8" t="inlineStr">
        <is>
          <t>PAY J8Z26; RECEIVE 2× J8U27; PAY J8Z28; PAY IMU27; RECEIVE IMZ28</t>
        </is>
      </c>
      <c r="AJ8" s="8" t="inlineStr">
        <is>
          <t>J8Z26 -1, J8U27 +2, J8Z28 -1, IMU27 -1, IMZ28 +1</t>
        </is>
      </c>
    </row>
    <row r="9">
      <c r="A9" s="7" t="inlineStr">
        <is>
          <t>COMBO_28</t>
        </is>
      </c>
      <c r="B9" s="7" t="inlineStr">
        <is>
          <t>GB_CUT + EU_BUILD + EU_CUT</t>
        </is>
      </c>
      <c r="C9" s="7" t="n">
        <v>0</v>
      </c>
      <c r="D9" s="7" t="n">
        <v>1</v>
      </c>
      <c r="E9" s="7" t="n">
        <v>1</v>
      </c>
      <c r="F9" s="7" t="n">
        <v>1</v>
      </c>
      <c r="G9" s="7" t="n">
        <v>3</v>
      </c>
      <c r="H9" s="7" t="n">
        <v>3</v>
      </c>
      <c r="I9" s="7" t="inlineStr">
        <is>
          <t>Unique ±1/0 linear combination; inverse represented by trade direction</t>
        </is>
      </c>
      <c r="J9" s="7" t="n">
        <v>141</v>
      </c>
      <c r="K9" s="11" t="n">
        <v>-29.50000000000017</v>
      </c>
      <c r="L9" s="11" t="n">
        <v>76.00000000000051</v>
      </c>
      <c r="M9" s="11" t="n">
        <v>77.49999999999915</v>
      </c>
      <c r="N9" s="11" t="n">
        <v>1.499999999998636</v>
      </c>
      <c r="O9" s="11" t="n">
        <v>106.9999999999993</v>
      </c>
      <c r="P9" s="11" t="n">
        <v>16.61347517730492</v>
      </c>
      <c r="Q9" s="11" t="n">
        <v>16.4999999999992</v>
      </c>
      <c r="R9" s="11" t="n">
        <v>21.02238337669839</v>
      </c>
      <c r="S9" s="11" t="n">
        <v>2.896271261525085</v>
      </c>
      <c r="T9" s="11" t="n">
        <v>-29.50000000000017</v>
      </c>
      <c r="U9" s="7" t="inlineStr">
        <is>
          <t>2026-03-02</t>
        </is>
      </c>
      <c r="V9" s="11" t="n">
        <v>84.49999999999989</v>
      </c>
      <c r="W9" s="7" t="inlineStr">
        <is>
          <t>2026-09-14</t>
        </is>
      </c>
      <c r="X9" s="11" t="n">
        <v>98.58156028368793</v>
      </c>
      <c r="Y9" s="11" t="n">
        <v>1.418439716312065</v>
      </c>
      <c r="Z9" s="11" t="n">
        <v>106.9999999999993</v>
      </c>
      <c r="AA9" s="11" t="n">
        <v>7.000000000000739</v>
      </c>
      <c r="AB9" s="11" t="n">
        <v>5.49999999999784</v>
      </c>
      <c r="AC9" s="11" t="n">
        <v>47.99999999999898</v>
      </c>
      <c r="AD9" s="11" t="n">
        <v>5.967370164517288</v>
      </c>
      <c r="AE9" s="18" t="inlineStr">
        <is>
          <t>EXTREME HIGH</t>
        </is>
      </c>
      <c r="AF9" s="7" t="inlineStr">
        <is>
          <t>SHORT level / receive positive-rate weights</t>
        </is>
      </c>
      <c r="AG9" s="11" t="n">
        <v>60.88652482269423</v>
      </c>
      <c r="AH9" s="7" t="inlineStr">
        <is>
          <t>SHORT</t>
        </is>
      </c>
      <c r="AI9" s="7" t="inlineStr">
        <is>
          <t>RECEIVE J8U27; PAY J8Z28; PAY IMZ26; RECEIVE 2× IMU27; PAY IMZ28</t>
        </is>
      </c>
      <c r="AJ9" s="7" t="inlineStr">
        <is>
          <t>J8U27 +1, J8Z28 -1, IMZ26 -1, IMU27 +2, IMZ28 -1</t>
        </is>
      </c>
    </row>
    <row r="10">
      <c r="A10" s="8" t="inlineStr">
        <is>
          <t>COMBO_05</t>
        </is>
      </c>
      <c r="B10" s="8" t="inlineStr">
        <is>
          <t>GB_BUILD + GB_CUT</t>
        </is>
      </c>
      <c r="C10" s="8" t="n">
        <v>1</v>
      </c>
      <c r="D10" s="8" t="n">
        <v>1</v>
      </c>
      <c r="E10" s="8" t="n">
        <v>0</v>
      </c>
      <c r="F10" s="8" t="n">
        <v>0</v>
      </c>
      <c r="G10" s="8" t="n">
        <v>2</v>
      </c>
      <c r="H10" s="8" t="n">
        <v>2</v>
      </c>
      <c r="I10" s="8" t="inlineStr">
        <is>
          <t>Unique ±1/0 linear combination; inverse represented by trade direction</t>
        </is>
      </c>
      <c r="J10" s="8" t="n">
        <v>141</v>
      </c>
      <c r="K10" s="10" t="n">
        <v>-11.50000000000091</v>
      </c>
      <c r="L10" s="10" t="n">
        <v>72.49999999999943</v>
      </c>
      <c r="M10" s="10" t="n">
        <v>72.49999999999943</v>
      </c>
      <c r="N10" s="10" t="n">
        <v>0</v>
      </c>
      <c r="O10" s="10" t="n">
        <v>84.00000000000034</v>
      </c>
      <c r="P10" s="10" t="n">
        <v>15.6241134751773</v>
      </c>
      <c r="Q10" s="10" t="n">
        <v>11.49999999999949</v>
      </c>
      <c r="R10" s="10" t="n">
        <v>19.62789160029033</v>
      </c>
      <c r="S10" s="10" t="n">
        <v>2.897707389212444</v>
      </c>
      <c r="T10" s="10" t="n">
        <v>-12.9999999999995</v>
      </c>
      <c r="U10" s="8" t="inlineStr">
        <is>
          <t>2026-04-17</t>
        </is>
      </c>
      <c r="V10" s="10" t="n">
        <v>78.49999999999983</v>
      </c>
      <c r="W10" s="8" t="inlineStr">
        <is>
          <t>2026-09-18</t>
        </is>
      </c>
      <c r="X10" s="10" t="n">
        <v>98.58156028368793</v>
      </c>
      <c r="Y10" s="10" t="n">
        <v>1.418439716312065</v>
      </c>
      <c r="Z10" s="10" t="n">
        <v>85.49999999999893</v>
      </c>
      <c r="AA10" s="10" t="n">
        <v>6.000000000000398</v>
      </c>
      <c r="AB10" s="10" t="n">
        <v>4.000000000000625</v>
      </c>
      <c r="AC10" s="10" t="n">
        <v>38.49999999999767</v>
      </c>
      <c r="AD10" s="10" t="n">
        <v>4.269769929609727</v>
      </c>
      <c r="AE10" s="18" t="inlineStr">
        <is>
          <t>EXTREME HIGH</t>
        </is>
      </c>
      <c r="AF10" s="8" t="inlineStr">
        <is>
          <t>SHORT level / receive positive-rate weights</t>
        </is>
      </c>
      <c r="AG10" s="10" t="n">
        <v>56.87588652482214</v>
      </c>
      <c r="AH10" s="8" t="inlineStr">
        <is>
          <t>SHORT</t>
        </is>
      </c>
      <c r="AI10" s="8" t="inlineStr">
        <is>
          <t>PAY J8Z26; RECEIVE 2× J8U27; PAY J8Z28</t>
        </is>
      </c>
      <c r="AJ10" s="8" t="inlineStr">
        <is>
          <t>J8Z26 -1, J8U27 +2, J8Z28 -1</t>
        </is>
      </c>
    </row>
    <row r="11">
      <c r="A11" s="7" t="inlineStr">
        <is>
          <t>COMBO_01</t>
        </is>
      </c>
      <c r="B11" s="7" t="inlineStr">
        <is>
          <t>GB_BUILD + GB_CUT + EU_BUILD + EU_CUT</t>
        </is>
      </c>
      <c r="C11" s="7" t="n">
        <v>1</v>
      </c>
      <c r="D11" s="7" t="n">
        <v>1</v>
      </c>
      <c r="E11" s="7" t="n">
        <v>1</v>
      </c>
      <c r="F11" s="7" t="n">
        <v>1</v>
      </c>
      <c r="G11" s="7" t="n">
        <v>4</v>
      </c>
      <c r="H11" s="7" t="n">
        <v>4</v>
      </c>
      <c r="I11" s="7" t="inlineStr">
        <is>
          <t>Unique ±1/0 linear combination; inverse represented by trade direction</t>
        </is>
      </c>
      <c r="J11" s="7" t="n">
        <v>141</v>
      </c>
      <c r="K11" s="11" t="n">
        <v>-23.0000000000004</v>
      </c>
      <c r="L11" s="11" t="n">
        <v>132.5000000000003</v>
      </c>
      <c r="M11" s="11" t="n">
        <v>134.4999999999985</v>
      </c>
      <c r="N11" s="11" t="n">
        <v>1.999999999998181</v>
      </c>
      <c r="O11" s="11" t="n">
        <v>157.4999999999989</v>
      </c>
      <c r="P11" s="11" t="n">
        <v>26.11347517730491</v>
      </c>
      <c r="Q11" s="11" t="n">
        <v>16.99999999999875</v>
      </c>
      <c r="R11" s="11" t="n">
        <v>37.32446386536433</v>
      </c>
      <c r="S11" s="11" t="n">
        <v>2.903900380556359</v>
      </c>
      <c r="T11" s="11" t="n">
        <v>-23.0000000000004</v>
      </c>
      <c r="U11" s="7" t="inlineStr">
        <is>
          <t>2026-03-02</t>
        </is>
      </c>
      <c r="V11" s="11" t="n">
        <v>144.999999999999</v>
      </c>
      <c r="W11" s="7" t="inlineStr">
        <is>
          <t>2026-09-18</t>
        </is>
      </c>
      <c r="X11" s="11" t="n">
        <v>98.58156028368793</v>
      </c>
      <c r="Y11" s="11" t="n">
        <v>1.418439716312065</v>
      </c>
      <c r="Z11" s="11" t="n">
        <v>157.4999999999989</v>
      </c>
      <c r="AA11" s="11" t="n">
        <v>10.50000000000057</v>
      </c>
      <c r="AB11" s="11" t="n">
        <v>3.999999999997783</v>
      </c>
      <c r="AC11" s="11" t="n">
        <v>74.99999999999716</v>
      </c>
      <c r="AD11" s="11" t="n">
        <v>7.594991960344609</v>
      </c>
      <c r="AE11" s="18" t="inlineStr">
        <is>
          <t>EXTREME HIGH</t>
        </is>
      </c>
      <c r="AF11" s="7" t="inlineStr">
        <is>
          <t>SHORT level / receive positive-rate weights</t>
        </is>
      </c>
      <c r="AG11" s="11" t="n">
        <v>108.3865248226936</v>
      </c>
      <c r="AH11" s="7" t="inlineStr">
        <is>
          <t>SHORT</t>
        </is>
      </c>
      <c r="AI11" s="7" t="inlineStr">
        <is>
          <t>PAY J8Z26; RECEIVE 2× J8U27; PAY J8Z28; PAY IMZ26; RECEIVE 2× IMU27; PAY IMZ28</t>
        </is>
      </c>
      <c r="AJ11" s="7" t="inlineStr">
        <is>
          <t>J8Z26 -1, J8U27 +2, J8Z28 -1, IMZ26 -1, IMU27 +2, IMZ28 -1</t>
        </is>
      </c>
    </row>
    <row r="12">
      <c r="A12" s="8" t="inlineStr">
        <is>
          <t>COMBO_02</t>
        </is>
      </c>
      <c r="B12" s="8" t="inlineStr">
        <is>
          <t>GB_BUILD + GB_CUT + EU_BUILD</t>
        </is>
      </c>
      <c r="C12" s="8" t="n">
        <v>1</v>
      </c>
      <c r="D12" s="8" t="n">
        <v>1</v>
      </c>
      <c r="E12" s="8" t="n">
        <v>1</v>
      </c>
      <c r="F12" s="8" t="n">
        <v>0</v>
      </c>
      <c r="G12" s="8" t="n">
        <v>3</v>
      </c>
      <c r="H12" s="8" t="n">
        <v>3</v>
      </c>
      <c r="I12" s="8" t="inlineStr">
        <is>
          <t>Unique ±1/0 linear combination; inverse represented by trade direction</t>
        </is>
      </c>
      <c r="J12" s="8" t="n">
        <v>141</v>
      </c>
      <c r="K12" s="10" t="n">
        <v>-2.500000000000568</v>
      </c>
      <c r="L12" s="10" t="n">
        <v>119.4999999999993</v>
      </c>
      <c r="M12" s="10" t="n">
        <v>120.9999999999994</v>
      </c>
      <c r="N12" s="10" t="n">
        <v>1.500000000000057</v>
      </c>
      <c r="O12" s="10" t="n">
        <v>123.4999999999999</v>
      </c>
      <c r="P12" s="10" t="n">
        <v>24.70921985815596</v>
      </c>
      <c r="Q12" s="10" t="n">
        <v>12.99999999999955</v>
      </c>
      <c r="R12" s="10" t="n">
        <v>32.92638737875151</v>
      </c>
      <c r="S12" s="10" t="n">
        <v>2.924425902976014</v>
      </c>
      <c r="T12" s="10" t="n">
        <v>-11.4999999999994</v>
      </c>
      <c r="U12" s="8" t="inlineStr">
        <is>
          <t>2026-04-17</t>
        </is>
      </c>
      <c r="V12" s="10" t="n">
        <v>131.9999999999995</v>
      </c>
      <c r="W12" s="8" t="inlineStr">
        <is>
          <t>2026-09-18</t>
        </is>
      </c>
      <c r="X12" s="10" t="n">
        <v>98.58156028368793</v>
      </c>
      <c r="Y12" s="10" t="n">
        <v>1.418439716312065</v>
      </c>
      <c r="Z12" s="10" t="n">
        <v>132.4999999999988</v>
      </c>
      <c r="AA12" s="10" t="n">
        <v>11.00000000000011</v>
      </c>
      <c r="AB12" s="10" t="n">
        <v>1.999999999999602</v>
      </c>
      <c r="AC12" s="10" t="n">
        <v>65.99999999999824</v>
      </c>
      <c r="AD12" s="10" t="n">
        <v>6.044383418901975</v>
      </c>
      <c r="AE12" s="18" t="inlineStr">
        <is>
          <t>EXTREME HIGH</t>
        </is>
      </c>
      <c r="AF12" s="8" t="inlineStr">
        <is>
          <t>SHORT level / receive positive-rate weights</t>
        </is>
      </c>
      <c r="AG12" s="10" t="n">
        <v>96.29078014184341</v>
      </c>
      <c r="AH12" s="8" t="inlineStr">
        <is>
          <t>SHORT</t>
        </is>
      </c>
      <c r="AI12" s="8" t="inlineStr">
        <is>
          <t>PAY J8Z26; RECEIVE 2× J8U27; PAY J8Z28; PAY IMZ26; RECEIVE IMU27</t>
        </is>
      </c>
      <c r="AJ12" s="8" t="inlineStr">
        <is>
          <t>J8Z26 -1, J8U27 +2, J8Z28 -1, IMZ26 -1, IMU27 +1</t>
        </is>
      </c>
    </row>
    <row r="13">
      <c r="A13" s="7" t="inlineStr">
        <is>
          <t>COMBO_29</t>
        </is>
      </c>
      <c r="B13" s="7" t="inlineStr">
        <is>
          <t>GB_CUT + EU_BUILD</t>
        </is>
      </c>
      <c r="C13" s="7" t="n">
        <v>0</v>
      </c>
      <c r="D13" s="7" t="n">
        <v>1</v>
      </c>
      <c r="E13" s="7" t="n">
        <v>1</v>
      </c>
      <c r="F13" s="7" t="n">
        <v>0</v>
      </c>
      <c r="G13" s="7" t="n">
        <v>2</v>
      </c>
      <c r="H13" s="7" t="n">
        <v>2</v>
      </c>
      <c r="I13" s="7" t="inlineStr">
        <is>
          <t>Unique ±1/0 linear combination; inverse represented by trade direction</t>
        </is>
      </c>
      <c r="J13" s="7" t="n">
        <v>141</v>
      </c>
      <c r="K13" s="11" t="n">
        <v>-9.000000000000341</v>
      </c>
      <c r="L13" s="11" t="n">
        <v>62.99999999999955</v>
      </c>
      <c r="M13" s="11" t="n">
        <v>64.00000000000006</v>
      </c>
      <c r="N13" s="11" t="n">
        <v>1.000000000000512</v>
      </c>
      <c r="O13" s="11" t="n">
        <v>73.0000000000004</v>
      </c>
      <c r="P13" s="11" t="n">
        <v>15.20921985815597</v>
      </c>
      <c r="Q13" s="11" t="n">
        <v>12.00000000000045</v>
      </c>
      <c r="R13" s="11" t="n">
        <v>15.60129985751753</v>
      </c>
      <c r="S13" s="11" t="n">
        <v>3.127353527426378</v>
      </c>
      <c r="T13" s="11" t="n">
        <v>-9.000000000000341</v>
      </c>
      <c r="U13" s="7" t="inlineStr">
        <is>
          <t>2026-03-02</t>
        </is>
      </c>
      <c r="V13" s="11" t="n">
        <v>68.99999999999986</v>
      </c>
      <c r="W13" s="7" t="inlineStr">
        <is>
          <t>2026-09-18</t>
        </is>
      </c>
      <c r="X13" s="11" t="n">
        <v>98.58156028368793</v>
      </c>
      <c r="Y13" s="11" t="n">
        <v>1.418439716312065</v>
      </c>
      <c r="Z13" s="11" t="n">
        <v>73.0000000000004</v>
      </c>
      <c r="AA13" s="11" t="n">
        <v>4.999999999999801</v>
      </c>
      <c r="AB13" s="11" t="n">
        <v>3.499999999999659</v>
      </c>
      <c r="AC13" s="11" t="n">
        <v>39.00000000000006</v>
      </c>
      <c r="AD13" s="11" t="n">
        <v>3.769372707278</v>
      </c>
      <c r="AE13" s="18" t="inlineStr">
        <is>
          <t>EXTREME HIGH</t>
        </is>
      </c>
      <c r="AF13" s="7" t="inlineStr">
        <is>
          <t>SHORT level / receive positive-rate weights</t>
        </is>
      </c>
      <c r="AG13" s="11" t="n">
        <v>48.79078014184409</v>
      </c>
      <c r="AH13" s="7" t="inlineStr">
        <is>
          <t>SHORT</t>
        </is>
      </c>
      <c r="AI13" s="7" t="inlineStr">
        <is>
          <t>RECEIVE J8U27; PAY J8Z28; PAY IMZ26; RECEIVE IMU27</t>
        </is>
      </c>
      <c r="AJ13" s="7" t="inlineStr">
        <is>
          <t>J8U27 +1, J8Z28 -1, IMZ26 -1, IMU27 +1</t>
        </is>
      </c>
    </row>
    <row r="14">
      <c r="A14" s="8" t="inlineStr">
        <is>
          <t>COMBO_07</t>
        </is>
      </c>
      <c r="B14" s="8" t="inlineStr">
        <is>
          <t>GB_BUILD + GB_CUT − EU_BUILD + EU_CUT</t>
        </is>
      </c>
      <c r="C14" s="8" t="n">
        <v>1</v>
      </c>
      <c r="D14" s="8" t="n">
        <v>1</v>
      </c>
      <c r="E14" s="8" t="n">
        <v>-1</v>
      </c>
      <c r="F14" s="8" t="n">
        <v>1</v>
      </c>
      <c r="G14" s="8" t="n">
        <v>4</v>
      </c>
      <c r="H14" s="8" t="n">
        <v>4</v>
      </c>
      <c r="I14" s="8" t="inlineStr">
        <is>
          <t>Unique ±1/0 linear combination; inverse represented by trade direction</t>
        </is>
      </c>
      <c r="J14" s="8" t="n">
        <v>141</v>
      </c>
      <c r="K14" s="10" t="n">
        <v>-41.00000000000108</v>
      </c>
      <c r="L14" s="10" t="n">
        <v>38.50000000000051</v>
      </c>
      <c r="M14" s="10" t="n">
        <v>37.49999999999858</v>
      </c>
      <c r="N14" s="10" t="n">
        <v>-1.000000000001933</v>
      </c>
      <c r="O14" s="10" t="n">
        <v>78.49999999999966</v>
      </c>
      <c r="P14" s="10" t="n">
        <v>7.943262411347579</v>
      </c>
      <c r="Q14" s="10" t="n">
        <v>11.50000000000091</v>
      </c>
      <c r="R14" s="10" t="n">
        <v>15.23964428233407</v>
      </c>
      <c r="S14" s="10" t="n">
        <v>1.939463746074009</v>
      </c>
      <c r="T14" s="10" t="n">
        <v>-41.00000000000108</v>
      </c>
      <c r="U14" s="8" t="inlineStr">
        <is>
          <t>2026-03-02</t>
        </is>
      </c>
      <c r="V14" s="10" t="n">
        <v>40.00000000000057</v>
      </c>
      <c r="W14" s="8" t="inlineStr">
        <is>
          <t>2026-09-14</t>
        </is>
      </c>
      <c r="X14" s="10" t="n">
        <v>97.87234042553192</v>
      </c>
      <c r="Y14" s="10" t="n">
        <v>2.127659574468083</v>
      </c>
      <c r="Z14" s="10" t="n">
        <v>78.49999999999966</v>
      </c>
      <c r="AA14" s="10" t="n">
        <v>2.50000000000199</v>
      </c>
      <c r="AB14" s="10" t="n">
        <v>7.999999999999829</v>
      </c>
      <c r="AC14" s="10" t="n">
        <v>19.99999999999602</v>
      </c>
      <c r="AD14" s="10" t="n">
        <v>5.692500385349743</v>
      </c>
      <c r="AE14" s="18" t="inlineStr">
        <is>
          <t>EXTREME HIGH</t>
        </is>
      </c>
      <c r="AF14" s="8" t="inlineStr">
        <is>
          <t>SHORT level / receive positive-rate weights</t>
        </is>
      </c>
      <c r="AG14" s="10" t="n">
        <v>29.556737588651</v>
      </c>
      <c r="AH14" s="8" t="inlineStr">
        <is>
          <t>SHORT</t>
        </is>
      </c>
      <c r="AI14" s="8" t="inlineStr">
        <is>
          <t>PAY J8Z26; RECEIVE 2× J8U27; PAY J8Z28; RECEIVE IMZ26; PAY IMZ28</t>
        </is>
      </c>
      <c r="AJ14" s="8" t="inlineStr">
        <is>
          <t>J8Z26 -1, J8U27 +2, J8Z28 -1, IMZ26 +1, IMZ28 -1</t>
        </is>
      </c>
    </row>
    <row r="15">
      <c r="A15" s="7" t="inlineStr">
        <is>
          <t>COMBO_15</t>
        </is>
      </c>
      <c r="B15" s="7" t="inlineStr">
        <is>
          <t>GB_BUILD − EU_CUT</t>
        </is>
      </c>
      <c r="C15" s="7" t="n">
        <v>1</v>
      </c>
      <c r="D15" s="7" t="n">
        <v>0</v>
      </c>
      <c r="E15" s="7" t="n">
        <v>0</v>
      </c>
      <c r="F15" s="7" t="n">
        <v>-1</v>
      </c>
      <c r="G15" s="7" t="n">
        <v>2</v>
      </c>
      <c r="H15" s="7" t="n">
        <v>2</v>
      </c>
      <c r="I15" s="7" t="inlineStr">
        <is>
          <t>Unique ±1/0 linear combination; inverse represented by trade direction</t>
        </is>
      </c>
      <c r="J15" s="7" t="n">
        <v>141</v>
      </c>
      <c r="K15" s="11" t="n">
        <v>26.9999999999996</v>
      </c>
      <c r="L15" s="11" t="n">
        <v>43.49999999999881</v>
      </c>
      <c r="M15" s="11" t="n">
        <v>43.50000000000023</v>
      </c>
      <c r="N15" s="11" t="n">
        <v>1.4210854715202e-12</v>
      </c>
      <c r="O15" s="11" t="n">
        <v>16.50000000000063</v>
      </c>
      <c r="P15" s="11" t="n">
        <v>8.095744680851038</v>
      </c>
      <c r="Q15" s="11" t="n">
        <v>6.499999999999773</v>
      </c>
      <c r="R15" s="11" t="n">
        <v>17.10951227634341</v>
      </c>
      <c r="S15" s="11" t="n">
        <v>2.069273205882153</v>
      </c>
      <c r="T15" s="11" t="n">
        <v>-23.0000000000004</v>
      </c>
      <c r="U15" s="7" t="inlineStr">
        <is>
          <t>2026-03-19</t>
        </is>
      </c>
      <c r="V15" s="11" t="n">
        <v>50.00000000000009</v>
      </c>
      <c r="W15" s="7" t="inlineStr">
        <is>
          <t>2026-09-18</t>
        </is>
      </c>
      <c r="X15" s="11" t="n">
        <v>97.87234042553192</v>
      </c>
      <c r="Y15" s="11" t="n">
        <v>2.127659574468083</v>
      </c>
      <c r="Z15" s="11" t="n">
        <v>66.50000000000063</v>
      </c>
      <c r="AA15" s="11" t="n">
        <v>6.499999999999858</v>
      </c>
      <c r="AB15" s="11" t="n">
        <v>-3.499999999998238</v>
      </c>
      <c r="AC15" s="11" t="n">
        <v>17.99999999999926</v>
      </c>
      <c r="AD15" s="11" t="n">
        <v>4.369865214607144</v>
      </c>
      <c r="AE15" s="18" t="inlineStr">
        <is>
          <t>EXTREME HIGH</t>
        </is>
      </c>
      <c r="AF15" s="7" t="inlineStr">
        <is>
          <t>SHORT level / receive positive-rate weights</t>
        </is>
      </c>
      <c r="AG15" s="11" t="n">
        <v>35.40425531914919</v>
      </c>
      <c r="AH15" s="7" t="inlineStr">
        <is>
          <t>SHORT</t>
        </is>
      </c>
      <c r="AI15" s="7" t="inlineStr">
        <is>
          <t>PAY J8Z26; RECEIVE J8U27; PAY IMU27; RECEIVE IMZ28</t>
        </is>
      </c>
      <c r="AJ15" s="7" t="inlineStr">
        <is>
          <t>J8Z26 -1, J8U27 +1, IMU27 -1, IMZ28 +1</t>
        </is>
      </c>
    </row>
    <row r="16">
      <c r="A16" s="8" t="inlineStr">
        <is>
          <t>COMBO_12</t>
        </is>
      </c>
      <c r="B16" s="8" t="inlineStr">
        <is>
          <t>GB_BUILD + EU_BUILD − EU_CUT</t>
        </is>
      </c>
      <c r="C16" s="8" t="n">
        <v>1</v>
      </c>
      <c r="D16" s="8" t="n">
        <v>0</v>
      </c>
      <c r="E16" s="8" t="n">
        <v>1</v>
      </c>
      <c r="F16" s="8" t="n">
        <v>-1</v>
      </c>
      <c r="G16" s="8" t="n">
        <v>3</v>
      </c>
      <c r="H16" s="8" t="n">
        <v>3</v>
      </c>
      <c r="I16" s="8" t="inlineStr">
        <is>
          <t>Unique ±1/0 linear combination; inverse represented by trade direction</t>
        </is>
      </c>
      <c r="J16" s="8" t="n">
        <v>141</v>
      </c>
      <c r="K16" s="10" t="n">
        <v>35.99999999999994</v>
      </c>
      <c r="L16" s="10" t="n">
        <v>90.49999999999869</v>
      </c>
      <c r="M16" s="10" t="n">
        <v>92.00000000000017</v>
      </c>
      <c r="N16" s="10" t="n">
        <v>1.500000000001478</v>
      </c>
      <c r="O16" s="10" t="n">
        <v>56.00000000000023</v>
      </c>
      <c r="P16" s="10" t="n">
        <v>17.1808510638297</v>
      </c>
      <c r="Q16" s="10" t="n">
        <v>12.49999999999858</v>
      </c>
      <c r="R16" s="10" t="n">
        <v>30.45964992504391</v>
      </c>
      <c r="S16" s="10" t="n">
        <v>2.4563364687476</v>
      </c>
      <c r="T16" s="10" t="n">
        <v>-31.49999999999973</v>
      </c>
      <c r="U16" s="8" t="inlineStr">
        <is>
          <t>2026-03-20</t>
        </is>
      </c>
      <c r="V16" s="10" t="n">
        <v>103.4999999999997</v>
      </c>
      <c r="W16" s="8" t="inlineStr">
        <is>
          <t>2026-09-18</t>
        </is>
      </c>
      <c r="X16" s="10" t="n">
        <v>97.87234042553192</v>
      </c>
      <c r="Y16" s="10" t="n">
        <v>2.127659574468083</v>
      </c>
      <c r="Z16" s="10" t="n">
        <v>123.4999999999999</v>
      </c>
      <c r="AA16" s="10" t="n">
        <v>11.49999999999957</v>
      </c>
      <c r="AB16" s="10" t="n">
        <v>-5.499999999999261</v>
      </c>
      <c r="AC16" s="10" t="n">
        <v>45.49999999999983</v>
      </c>
      <c r="AD16" s="10" t="n">
        <v>6.22948431414218</v>
      </c>
      <c r="AE16" s="18" t="inlineStr">
        <is>
          <t>EXTREME HIGH</t>
        </is>
      </c>
      <c r="AF16" s="8" t="inlineStr">
        <is>
          <t>SHORT level / receive positive-rate weights</t>
        </is>
      </c>
      <c r="AG16" s="10" t="n">
        <v>74.81914893617046</v>
      </c>
      <c r="AH16" s="8" t="inlineStr">
        <is>
          <t>SHORT</t>
        </is>
      </c>
      <c r="AI16" s="8" t="inlineStr">
        <is>
          <t>PAY J8Z26; RECEIVE J8U27; PAY IMZ26; RECEIVE IMZ28</t>
        </is>
      </c>
      <c r="AJ16" s="8" t="inlineStr">
        <is>
          <t>J8Z26 -1, J8U27 +1, IMZ26 -1, IMZ28 +1</t>
        </is>
      </c>
    </row>
    <row r="17">
      <c r="A17" s="7" t="inlineStr">
        <is>
          <t>COMBO_13</t>
        </is>
      </c>
      <c r="B17" s="7" t="inlineStr">
        <is>
          <t>GB_BUILD + EU_CUT</t>
        </is>
      </c>
      <c r="C17" s="7" t="n">
        <v>1</v>
      </c>
      <c r="D17" s="7" t="n">
        <v>0</v>
      </c>
      <c r="E17" s="7" t="n">
        <v>0</v>
      </c>
      <c r="F17" s="7" t="n">
        <v>1</v>
      </c>
      <c r="G17" s="7" t="n">
        <v>2</v>
      </c>
      <c r="H17" s="7" t="n">
        <v>2</v>
      </c>
      <c r="I17" s="7" t="inlineStr">
        <is>
          <t>Unique ±1/0 linear combination; inverse represented by trade direction</t>
        </is>
      </c>
      <c r="J17" s="7" t="n">
        <v>141</v>
      </c>
      <c r="K17" s="11" t="n">
        <v>-14.00000000000006</v>
      </c>
      <c r="L17" s="11" t="n">
        <v>69.50000000000074</v>
      </c>
      <c r="M17" s="11" t="n">
        <v>70.49999999999841</v>
      </c>
      <c r="N17" s="11" t="n">
        <v>0.9999999999976694</v>
      </c>
      <c r="O17" s="11" t="n">
        <v>84.49999999999847</v>
      </c>
      <c r="P17" s="11" t="n">
        <v>10.90425531914894</v>
      </c>
      <c r="Q17" s="11" t="n">
        <v>6.499999999999773</v>
      </c>
      <c r="R17" s="11" t="n">
        <v>22.66258046188674</v>
      </c>
      <c r="S17" s="11" t="n">
        <v>2.629698095548997</v>
      </c>
      <c r="T17" s="11" t="n">
        <v>-22.99999999999893</v>
      </c>
      <c r="U17" s="7" t="inlineStr">
        <is>
          <t>2026-04-17</t>
        </is>
      </c>
      <c r="V17" s="11" t="n">
        <v>76.50000000000006</v>
      </c>
      <c r="W17" s="7" t="inlineStr">
        <is>
          <t>2026-09-14</t>
        </is>
      </c>
      <c r="X17" s="11" t="n">
        <v>97.87234042553192</v>
      </c>
      <c r="Y17" s="11" t="n">
        <v>2.127659574468083</v>
      </c>
      <c r="Z17" s="11" t="n">
        <v>93.49999999999734</v>
      </c>
      <c r="AA17" s="11" t="n">
        <v>6.000000000001648</v>
      </c>
      <c r="AB17" s="11" t="n">
        <v>0.4999999999981242</v>
      </c>
      <c r="AC17" s="11" t="n">
        <v>35.9999999999971</v>
      </c>
      <c r="AD17" s="11" t="n">
        <v>4.311810961978758</v>
      </c>
      <c r="AE17" s="18" t="inlineStr">
        <is>
          <t>EXTREME HIGH</t>
        </is>
      </c>
      <c r="AF17" s="7" t="inlineStr">
        <is>
          <t>SHORT level / receive positive-rate weights</t>
        </is>
      </c>
      <c r="AG17" s="11" t="n">
        <v>59.59574468084947</v>
      </c>
      <c r="AH17" s="7" t="inlineStr">
        <is>
          <t>SHORT</t>
        </is>
      </c>
      <c r="AI17" s="7" t="inlineStr">
        <is>
          <t>PAY J8Z26; RECEIVE J8U27; RECEIVE IMU27; PAY IMZ28</t>
        </is>
      </c>
      <c r="AJ17" s="7" t="inlineStr">
        <is>
          <t>J8Z26 -1, J8U27 +1, IMU27 +1, IMZ28 -1</t>
        </is>
      </c>
    </row>
    <row r="18">
      <c r="A18" s="8" t="inlineStr">
        <is>
          <t>COMBO_11</t>
        </is>
      </c>
      <c r="B18" s="8" t="inlineStr">
        <is>
          <t>GB_BUILD + EU_BUILD</t>
        </is>
      </c>
      <c r="C18" s="8" t="n">
        <v>1</v>
      </c>
      <c r="D18" s="8" t="n">
        <v>0</v>
      </c>
      <c r="E18" s="8" t="n">
        <v>1</v>
      </c>
      <c r="F18" s="8" t="n">
        <v>0</v>
      </c>
      <c r="G18" s="8" t="n">
        <v>2</v>
      </c>
      <c r="H18" s="8" t="n">
        <v>2</v>
      </c>
      <c r="I18" s="8" t="inlineStr">
        <is>
          <t>Unique ±1/0 linear combination; inverse represented by trade direction</t>
        </is>
      </c>
      <c r="J18" s="8" t="n">
        <v>141</v>
      </c>
      <c r="K18" s="10" t="n">
        <v>15.50000000000011</v>
      </c>
      <c r="L18" s="10" t="n">
        <v>103.4999999999997</v>
      </c>
      <c r="M18" s="10" t="n">
        <v>105.4999999999993</v>
      </c>
      <c r="N18" s="10" t="n">
        <v>1.999999999999602</v>
      </c>
      <c r="O18" s="10" t="n">
        <v>89.99999999999915</v>
      </c>
      <c r="P18" s="10" t="n">
        <v>18.58510638297865</v>
      </c>
      <c r="Q18" s="10" t="n">
        <v>9.499999999998465</v>
      </c>
      <c r="R18" s="10" t="n">
        <v>32.73928164010366</v>
      </c>
      <c r="S18" s="10" t="n">
        <v>2.654758725999506</v>
      </c>
      <c r="T18" s="10" t="n">
        <v>-29.50000000000017</v>
      </c>
      <c r="U18" s="8" t="inlineStr">
        <is>
          <t>2026-03-20</t>
        </is>
      </c>
      <c r="V18" s="10" t="n">
        <v>116.4999999999993</v>
      </c>
      <c r="W18" s="8" t="inlineStr">
        <is>
          <t>2026-09-18</t>
        </is>
      </c>
      <c r="X18" s="10" t="n">
        <v>97.87234042553192</v>
      </c>
      <c r="Y18" s="10" t="n">
        <v>2.127659574468083</v>
      </c>
      <c r="Z18" s="10" t="n">
        <v>134.9999999999994</v>
      </c>
      <c r="AA18" s="10" t="n">
        <v>11.00000000000003</v>
      </c>
      <c r="AB18" s="10" t="n">
        <v>-3.50000000000108</v>
      </c>
      <c r="AC18" s="10" t="n">
        <v>54.49999999999875</v>
      </c>
      <c r="AD18" s="10" t="n">
        <v>5.645487697830084</v>
      </c>
      <c r="AE18" s="18" t="inlineStr">
        <is>
          <t>EXTREME HIGH</t>
        </is>
      </c>
      <c r="AF18" s="8" t="inlineStr">
        <is>
          <t>SHORT level / receive positive-rate weights</t>
        </is>
      </c>
      <c r="AG18" s="10" t="n">
        <v>86.91489361702061</v>
      </c>
      <c r="AH18" s="8" t="inlineStr">
        <is>
          <t>SHORT</t>
        </is>
      </c>
      <c r="AI18" s="8" t="inlineStr">
        <is>
          <t>PAY J8Z26; RECEIVE J8U27; PAY IMZ26; RECEIVE IMU27</t>
        </is>
      </c>
      <c r="AJ18" s="8" t="inlineStr">
        <is>
          <t>J8Z26 -1, J8U27 +1, IMZ26 -1, IMU27 +1</t>
        </is>
      </c>
    </row>
    <row r="19">
      <c r="A19" s="7" t="inlineStr">
        <is>
          <t>COMBO_38</t>
        </is>
      </c>
      <c r="B19" s="7" t="inlineStr">
        <is>
          <t>EU_BUILD</t>
        </is>
      </c>
      <c r="C19" s="7" t="n">
        <v>0</v>
      </c>
      <c r="D19" s="7" t="n">
        <v>0</v>
      </c>
      <c r="E19" s="7" t="n">
        <v>1</v>
      </c>
      <c r="F19" s="7" t="n">
        <v>0</v>
      </c>
      <c r="G19" s="7" t="n">
        <v>1</v>
      </c>
      <c r="H19" s="7" t="n">
        <v>1</v>
      </c>
      <c r="I19" s="7" t="inlineStr">
        <is>
          <t>Unique ±1/0 linear combination; inverse represented by trade direction</t>
        </is>
      </c>
      <c r="J19" s="7" t="n">
        <v>141</v>
      </c>
      <c r="K19" s="11" t="n">
        <v>9.000000000000341</v>
      </c>
      <c r="L19" s="11" t="n">
        <v>46.99999999999989</v>
      </c>
      <c r="M19" s="11" t="n">
        <v>48.49999999999994</v>
      </c>
      <c r="N19" s="11" t="n">
        <v>1.500000000000057</v>
      </c>
      <c r="O19" s="11" t="n">
        <v>39.4999999999996</v>
      </c>
      <c r="P19" s="11" t="n">
        <v>9.085106382978665</v>
      </c>
      <c r="Q19" s="11" t="n">
        <v>4.500000000000171</v>
      </c>
      <c r="R19" s="11" t="n">
        <v>14.00420312503262</v>
      </c>
      <c r="S19" s="11" t="n">
        <v>2.814504564459427</v>
      </c>
      <c r="T19" s="11" t="n">
        <v>-9.000000000000341</v>
      </c>
      <c r="U19" s="7" t="inlineStr">
        <is>
          <t>2026-03-20</t>
        </is>
      </c>
      <c r="V19" s="11" t="n">
        <v>53.49999999999966</v>
      </c>
      <c r="W19" s="7" t="inlineStr">
        <is>
          <t>2026-09-18</t>
        </is>
      </c>
      <c r="X19" s="11" t="n">
        <v>97.87234042553192</v>
      </c>
      <c r="Y19" s="11" t="n">
        <v>2.127659574468083</v>
      </c>
      <c r="Z19" s="11" t="n">
        <v>57.50000000000028</v>
      </c>
      <c r="AA19" s="11" t="n">
        <v>4.999999999999716</v>
      </c>
      <c r="AB19" s="11" t="n">
        <v>-2.000000000001023</v>
      </c>
      <c r="AC19" s="11" t="n">
        <v>27.50000000000057</v>
      </c>
      <c r="AD19" s="11" t="n">
        <v>2.511277236933376</v>
      </c>
      <c r="AE19" s="18" t="inlineStr">
        <is>
          <t>EXTREME HIGH</t>
        </is>
      </c>
      <c r="AF19" s="7" t="inlineStr">
        <is>
          <t>SHORT level / receive positive-rate weights</t>
        </is>
      </c>
      <c r="AG19" s="11" t="n">
        <v>39.41489361702128</v>
      </c>
      <c r="AH19" s="7" t="inlineStr">
        <is>
          <t>SHORT</t>
        </is>
      </c>
      <c r="AI19" s="7" t="inlineStr">
        <is>
          <t>PAY IMZ26; RECEIVE IMU27</t>
        </is>
      </c>
      <c r="AJ19" s="7" t="inlineStr">
        <is>
          <t>IMZ26 -1, IMU27 +1</t>
        </is>
      </c>
    </row>
    <row r="20">
      <c r="A20" s="8" t="inlineStr">
        <is>
          <t>COMBO_37</t>
        </is>
      </c>
      <c r="B20" s="8" t="inlineStr">
        <is>
          <t>EU_BUILD + EU_CUT</t>
        </is>
      </c>
      <c r="C20" s="8" t="n">
        <v>0</v>
      </c>
      <c r="D20" s="8" t="n">
        <v>0</v>
      </c>
      <c r="E20" s="8" t="n">
        <v>1</v>
      </c>
      <c r="F20" s="8" t="n">
        <v>1</v>
      </c>
      <c r="G20" s="8" t="n">
        <v>2</v>
      </c>
      <c r="H20" s="8" t="n">
        <v>2</v>
      </c>
      <c r="I20" s="8" t="inlineStr">
        <is>
          <t>Unique ±1/0 linear combination; inverse represented by trade direction</t>
        </is>
      </c>
      <c r="J20" s="8" t="n">
        <v>141</v>
      </c>
      <c r="K20" s="10" t="n">
        <v>-11.49999999999949</v>
      </c>
      <c r="L20" s="10" t="n">
        <v>60.00000000000085</v>
      </c>
      <c r="M20" s="10" t="n">
        <v>61.99999999999903</v>
      </c>
      <c r="N20" s="10" t="n">
        <v>1.999999999998181</v>
      </c>
      <c r="O20" s="10" t="n">
        <v>73.49999999999852</v>
      </c>
      <c r="P20" s="10" t="n">
        <v>10.48936170212762</v>
      </c>
      <c r="Q20" s="10" t="n">
        <v>5.499999999999261</v>
      </c>
      <c r="R20" s="10" t="n">
        <v>17.82679244495158</v>
      </c>
      <c r="S20" s="10" t="n">
        <v>2.889506817164905</v>
      </c>
      <c r="T20" s="10" t="n">
        <v>-12.00000000000045</v>
      </c>
      <c r="U20" s="8" t="inlineStr">
        <is>
          <t>2026-03-04</t>
        </is>
      </c>
      <c r="V20" s="10" t="n">
        <v>68.99999999999977</v>
      </c>
      <c r="W20" s="8" t="inlineStr">
        <is>
          <t>2026-09-14</t>
        </is>
      </c>
      <c r="X20" s="10" t="n">
        <v>97.87234042553192</v>
      </c>
      <c r="Y20" s="10" t="n">
        <v>2.127659574468083</v>
      </c>
      <c r="Z20" s="10" t="n">
        <v>73.99999999999949</v>
      </c>
      <c r="AA20" s="10" t="n">
        <v>7.000000000000739</v>
      </c>
      <c r="AB20" s="10" t="n">
        <v>-2.842170943040401e-12</v>
      </c>
      <c r="AC20" s="10" t="n">
        <v>36.49999999999949</v>
      </c>
      <c r="AD20" s="10" t="n">
        <v>3.778167592856631</v>
      </c>
      <c r="AE20" s="18" t="inlineStr">
        <is>
          <t>EXTREME HIGH</t>
        </is>
      </c>
      <c r="AF20" s="8" t="inlineStr">
        <is>
          <t>SHORT level / receive positive-rate weights</t>
        </is>
      </c>
      <c r="AG20" s="10" t="n">
        <v>51.51063829787142</v>
      </c>
      <c r="AH20" s="8" t="inlineStr">
        <is>
          <t>SHORT</t>
        </is>
      </c>
      <c r="AI20" s="8" t="inlineStr">
        <is>
          <t>PAY IMZ26; RECEIVE 2× IMU27; PAY IMZ28</t>
        </is>
      </c>
      <c r="AJ20" s="8" t="inlineStr">
        <is>
          <t>IMZ26 -1, IMU27 +2, IMZ28 -1</t>
        </is>
      </c>
    </row>
    <row r="21">
      <c r="A21" s="7" t="inlineStr">
        <is>
          <t>COMBO_16</t>
        </is>
      </c>
      <c r="B21" s="7" t="inlineStr">
        <is>
          <t>GB_BUILD − EU_BUILD + EU_CUT</t>
        </is>
      </c>
      <c r="C21" s="7" t="n">
        <v>1</v>
      </c>
      <c r="D21" s="7" t="n">
        <v>0</v>
      </c>
      <c r="E21" s="7" t="n">
        <v>-1</v>
      </c>
      <c r="F21" s="7" t="n">
        <v>1</v>
      </c>
      <c r="G21" s="7" t="n">
        <v>3</v>
      </c>
      <c r="H21" s="7" t="n">
        <v>3</v>
      </c>
      <c r="I21" s="7" t="inlineStr">
        <is>
          <t>Unique ±1/0 linear combination; inverse represented by trade direction</t>
        </is>
      </c>
      <c r="J21" s="7" t="n">
        <v>141</v>
      </c>
      <c r="K21" s="11" t="n">
        <v>-23.0000000000004</v>
      </c>
      <c r="L21" s="11" t="n">
        <v>22.50000000000085</v>
      </c>
      <c r="M21" s="11" t="n">
        <v>21.99999999999847</v>
      </c>
      <c r="N21" s="11" t="n">
        <v>-0.5000000000023874</v>
      </c>
      <c r="O21" s="11" t="n">
        <v>44.99999999999886</v>
      </c>
      <c r="P21" s="11" t="n">
        <v>1.819148936170271</v>
      </c>
      <c r="Q21" s="11" t="n">
        <v>4.499999999998749</v>
      </c>
      <c r="R21" s="11" t="n">
        <v>10.74497832806178</v>
      </c>
      <c r="S21" s="11" t="n">
        <v>1.878165822924325</v>
      </c>
      <c r="T21" s="11" t="n">
        <v>-24.49999999999903</v>
      </c>
      <c r="U21" s="7" t="inlineStr">
        <is>
          <t>2026-04-17</t>
        </is>
      </c>
      <c r="V21" s="11" t="n">
        <v>24.50000000000045</v>
      </c>
      <c r="W21" s="7" t="inlineStr">
        <is>
          <t>2026-09-14</t>
        </is>
      </c>
      <c r="X21" s="11" t="n">
        <v>97.16312056737588</v>
      </c>
      <c r="Y21" s="11" t="n">
        <v>2.836879432624116</v>
      </c>
      <c r="Z21" s="11" t="n">
        <v>46.4999999999975</v>
      </c>
      <c r="AA21" s="11" t="n">
        <v>2.50000000000199</v>
      </c>
      <c r="AB21" s="11" t="n">
        <v>2.499999999999147</v>
      </c>
      <c r="AC21" s="11" t="n">
        <v>8.499999999996533</v>
      </c>
      <c r="AD21" s="11" t="n">
        <v>3.195135369719622</v>
      </c>
      <c r="AE21" s="18" t="inlineStr">
        <is>
          <t>EXTREME HIGH</t>
        </is>
      </c>
      <c r="AF21" s="7" t="inlineStr">
        <is>
          <t>SHORT level / receive positive-rate weights</t>
        </is>
      </c>
      <c r="AG21" s="11" t="n">
        <v>20.18085106382819</v>
      </c>
      <c r="AH21" s="7" t="inlineStr">
        <is>
          <t>SHORT</t>
        </is>
      </c>
      <c r="AI21" s="7" t="inlineStr">
        <is>
          <t>PAY J8Z26; RECEIVE J8U27; RECEIVE IMZ26; PAY IMZ28</t>
        </is>
      </c>
      <c r="AJ21" s="7" t="inlineStr">
        <is>
          <t>J8Z26 -1, J8U27 +1, IMZ26 +1, IMZ28 -1</t>
        </is>
      </c>
    </row>
    <row r="22">
      <c r="A22" s="8" t="inlineStr">
        <is>
          <t>COMBO_39</t>
        </is>
      </c>
      <c r="B22" s="8" t="inlineStr">
        <is>
          <t>EU_BUILD − EU_CUT</t>
        </is>
      </c>
      <c r="C22" s="8" t="n">
        <v>0</v>
      </c>
      <c r="D22" s="8" t="n">
        <v>0</v>
      </c>
      <c r="E22" s="8" t="n">
        <v>1</v>
      </c>
      <c r="F22" s="8" t="n">
        <v>-1</v>
      </c>
      <c r="G22" s="8" t="n">
        <v>2</v>
      </c>
      <c r="H22" s="8" t="n">
        <v>2</v>
      </c>
      <c r="I22" s="8" t="inlineStr">
        <is>
          <t>Unique ±1/0 linear combination; inverse represented by trade direction</t>
        </is>
      </c>
      <c r="J22" s="8" t="n">
        <v>141</v>
      </c>
      <c r="K22" s="10" t="n">
        <v>29.50000000000017</v>
      </c>
      <c r="L22" s="10" t="n">
        <v>33.99999999999892</v>
      </c>
      <c r="M22" s="10" t="n">
        <v>35.00000000000085</v>
      </c>
      <c r="N22" s="10" t="n">
        <v>1.000000000001933</v>
      </c>
      <c r="O22" s="10" t="n">
        <v>5.500000000000682</v>
      </c>
      <c r="P22" s="10" t="n">
        <v>7.680851063829716</v>
      </c>
      <c r="Q22" s="10" t="n">
        <v>6.499999999999773</v>
      </c>
      <c r="R22" s="10" t="n">
        <v>12.74660691485952</v>
      </c>
      <c r="S22" s="10" t="n">
        <v>2.143248718552972</v>
      </c>
      <c r="T22" s="10" t="n">
        <v>-12.5</v>
      </c>
      <c r="U22" s="8" t="inlineStr">
        <is>
          <t>2026-05-05</t>
        </is>
      </c>
      <c r="V22" s="10" t="n">
        <v>40.50000000000011</v>
      </c>
      <c r="W22" s="8" t="inlineStr">
        <is>
          <t>2026-09-18</t>
        </is>
      </c>
      <c r="X22" s="10" t="n">
        <v>97.16312056737588</v>
      </c>
      <c r="Y22" s="10" t="n">
        <v>2.836879432624116</v>
      </c>
      <c r="Z22" s="10" t="n">
        <v>47.50000000000085</v>
      </c>
      <c r="AA22" s="10" t="n">
        <v>5.499999999999261</v>
      </c>
      <c r="AB22" s="10" t="n">
        <v>-3.999999999999204</v>
      </c>
      <c r="AC22" s="10" t="n">
        <v>18.50000000000165</v>
      </c>
      <c r="AD22" s="10" t="n">
        <v>3.604088334591107</v>
      </c>
      <c r="AE22" s="18" t="inlineStr">
        <is>
          <t>EXTREME HIGH</t>
        </is>
      </c>
      <c r="AF22" s="8" t="inlineStr">
        <is>
          <t>SHORT level / receive positive-rate weights</t>
        </is>
      </c>
      <c r="AG22" s="10" t="n">
        <v>27.31914893617114</v>
      </c>
      <c r="AH22" s="8" t="inlineStr">
        <is>
          <t>SHORT</t>
        </is>
      </c>
      <c r="AI22" s="8" t="inlineStr">
        <is>
          <t>PAY IMZ26; RECEIVE IMZ28</t>
        </is>
      </c>
      <c r="AJ22" s="8" t="inlineStr">
        <is>
          <t>IMZ26 -1, IMZ28 +1</t>
        </is>
      </c>
    </row>
    <row r="23">
      <c r="A23" s="7" t="inlineStr">
        <is>
          <t>COMBO_22</t>
        </is>
      </c>
      <c r="B23" s="7" t="inlineStr">
        <is>
          <t>GB_BUILD − GB_CUT + EU_CUT</t>
        </is>
      </c>
      <c r="C23" s="7" t="n">
        <v>1</v>
      </c>
      <c r="D23" s="7" t="n">
        <v>-1</v>
      </c>
      <c r="E23" s="7" t="n">
        <v>0</v>
      </c>
      <c r="F23" s="7" t="n">
        <v>1</v>
      </c>
      <c r="G23" s="7" t="n">
        <v>3</v>
      </c>
      <c r="H23" s="7" t="n">
        <v>3</v>
      </c>
      <c r="I23" s="7" t="inlineStr">
        <is>
          <t>Unique ±1/0 linear combination; inverse represented by trade direction</t>
        </is>
      </c>
      <c r="J23" s="7" t="n">
        <v>141</v>
      </c>
      <c r="K23" s="11" t="n">
        <v>4.000000000000625</v>
      </c>
      <c r="L23" s="11" t="n">
        <v>53.50000000000108</v>
      </c>
      <c r="M23" s="11" t="n">
        <v>54.99999999999829</v>
      </c>
      <c r="N23" s="11" t="n">
        <v>1.499999999997215</v>
      </c>
      <c r="O23" s="11" t="n">
        <v>50.99999999999767</v>
      </c>
      <c r="P23" s="11" t="n">
        <v>4.780141843971631</v>
      </c>
      <c r="Q23" s="11" t="n">
        <v>2.499999999999147</v>
      </c>
      <c r="R23" s="11" t="n">
        <v>23.08310829483674</v>
      </c>
      <c r="S23" s="11" t="n">
        <v>2.175610732947083</v>
      </c>
      <c r="T23" s="11" t="n">
        <v>-42.49999999999976</v>
      </c>
      <c r="U23" s="7" t="inlineStr">
        <is>
          <t>2026-03-20</t>
        </is>
      </c>
      <c r="V23" s="11" t="n">
        <v>60.99999999999994</v>
      </c>
      <c r="W23" s="7" t="inlineStr">
        <is>
          <t>2026-09-10</t>
        </is>
      </c>
      <c r="X23" s="11" t="n">
        <v>97.16312056737588</v>
      </c>
      <c r="Y23" s="11" t="n">
        <v>2.836879432624116</v>
      </c>
      <c r="Z23" s="11" t="n">
        <v>97.49999999999805</v>
      </c>
      <c r="AA23" s="11" t="n">
        <v>6.000000000001648</v>
      </c>
      <c r="AB23" s="11" t="n">
        <v>-5.000000000002558</v>
      </c>
      <c r="AC23" s="11" t="n">
        <v>24.49999999999761</v>
      </c>
      <c r="AD23" s="11" t="n">
        <v>4.283498056639333</v>
      </c>
      <c r="AE23" s="18" t="inlineStr">
        <is>
          <t>EXTREME HIGH</t>
        </is>
      </c>
      <c r="AF23" s="7" t="inlineStr">
        <is>
          <t>SHORT level / receive positive-rate weights</t>
        </is>
      </c>
      <c r="AG23" s="11" t="n">
        <v>50.21985815602666</v>
      </c>
      <c r="AH23" s="7" t="inlineStr">
        <is>
          <t>SHORT</t>
        </is>
      </c>
      <c r="AI23" s="7" t="inlineStr">
        <is>
          <t>PAY J8Z26; RECEIVE J8Z28; RECEIVE IMU27; PAY IMZ28</t>
        </is>
      </c>
      <c r="AJ23" s="7" t="inlineStr">
        <is>
          <t>J8Z26 -1, J8Z28 +1, IMU27 +1, IMZ28 -1</t>
        </is>
      </c>
    </row>
    <row r="24">
      <c r="A24" s="8" t="inlineStr">
        <is>
          <t>COMBO_20</t>
        </is>
      </c>
      <c r="B24" s="8" t="inlineStr">
        <is>
          <t>GB_BUILD − GB_CUT + EU_BUILD</t>
        </is>
      </c>
      <c r="C24" s="8" t="n">
        <v>1</v>
      </c>
      <c r="D24" s="8" t="n">
        <v>-1</v>
      </c>
      <c r="E24" s="8" t="n">
        <v>1</v>
      </c>
      <c r="F24" s="8" t="n">
        <v>0</v>
      </c>
      <c r="G24" s="8" t="n">
        <v>3</v>
      </c>
      <c r="H24" s="8" t="n">
        <v>3</v>
      </c>
      <c r="I24" s="8" t="inlineStr">
        <is>
          <t>Unique ±1/0 linear combination; inverse represented by trade direction</t>
        </is>
      </c>
      <c r="J24" s="8" t="n">
        <v>141</v>
      </c>
      <c r="K24" s="10" t="n">
        <v>33.5000000000008</v>
      </c>
      <c r="L24" s="10" t="n">
        <v>87.5</v>
      </c>
      <c r="M24" s="10" t="n">
        <v>89.99999999999915</v>
      </c>
      <c r="N24" s="10" t="n">
        <v>2.499999999999147</v>
      </c>
      <c r="O24" s="10" t="n">
        <v>56.49999999999835</v>
      </c>
      <c r="P24" s="10" t="n">
        <v>12.46099290780135</v>
      </c>
      <c r="Q24" s="10" t="n">
        <v>5.500000000000682</v>
      </c>
      <c r="R24" s="10" t="n">
        <v>34.37706206396847</v>
      </c>
      <c r="S24" s="10" t="n">
        <v>2.255544902234928</v>
      </c>
      <c r="T24" s="10" t="n">
        <v>-53.49999999999966</v>
      </c>
      <c r="U24" s="8" t="inlineStr">
        <is>
          <t>2026-03-20</t>
        </is>
      </c>
      <c r="V24" s="10" t="n">
        <v>100.9999999999991</v>
      </c>
      <c r="W24" s="8" t="inlineStr">
        <is>
          <t>2026-09-18</t>
        </is>
      </c>
      <c r="X24" s="10" t="n">
        <v>97.16312056737588</v>
      </c>
      <c r="Y24" s="10" t="n">
        <v>2.836879432624116</v>
      </c>
      <c r="Z24" s="10" t="n">
        <v>143.4999999999988</v>
      </c>
      <c r="AA24" s="10" t="n">
        <v>10.99999999999994</v>
      </c>
      <c r="AB24" s="10" t="n">
        <v>-9.000000000001762</v>
      </c>
      <c r="AC24" s="10" t="n">
        <v>42.99999999999926</v>
      </c>
      <c r="AD24" s="10" t="n">
        <v>6.863755403004283</v>
      </c>
      <c r="AE24" s="18" t="inlineStr">
        <is>
          <t>EXTREME HIGH</t>
        </is>
      </c>
      <c r="AF24" s="8" t="inlineStr">
        <is>
          <t>SHORT level / receive positive-rate weights</t>
        </is>
      </c>
      <c r="AG24" s="10" t="n">
        <v>77.53900709219781</v>
      </c>
      <c r="AH24" s="8" t="inlineStr">
        <is>
          <t>SHORT</t>
        </is>
      </c>
      <c r="AI24" s="8" t="inlineStr">
        <is>
          <t>PAY J8Z26; RECEIVE J8Z28; PAY IMZ26; RECEIVE IMU27</t>
        </is>
      </c>
      <c r="AJ24" s="8" t="inlineStr">
        <is>
          <t>J8Z26 -1, J8Z28 +1, IMZ26 -1, IMU27 +1</t>
        </is>
      </c>
    </row>
    <row r="25">
      <c r="A25" s="7" t="inlineStr">
        <is>
          <t>COMBO_19</t>
        </is>
      </c>
      <c r="B25" s="7" t="inlineStr">
        <is>
          <t>GB_BUILD − GB_CUT + EU_BUILD + EU_CUT</t>
        </is>
      </c>
      <c r="C25" s="7" t="n">
        <v>1</v>
      </c>
      <c r="D25" s="7" t="n">
        <v>-1</v>
      </c>
      <c r="E25" s="7" t="n">
        <v>1</v>
      </c>
      <c r="F25" s="7" t="n">
        <v>1</v>
      </c>
      <c r="G25" s="7" t="n">
        <v>4</v>
      </c>
      <c r="H25" s="7" t="n">
        <v>4</v>
      </c>
      <c r="I25" s="7" t="inlineStr">
        <is>
          <t>Unique ±1/0 linear combination; inverse represented by trade direction</t>
        </is>
      </c>
      <c r="J25" s="7" t="n">
        <v>141</v>
      </c>
      <c r="K25" s="11" t="n">
        <v>13.00000000000097</v>
      </c>
      <c r="L25" s="11" t="n">
        <v>100.500000000001</v>
      </c>
      <c r="M25" s="11" t="n">
        <v>103.4999999999982</v>
      </c>
      <c r="N25" s="11" t="n">
        <v>2.999999999997272</v>
      </c>
      <c r="O25" s="11" t="n">
        <v>90.49999999999727</v>
      </c>
      <c r="P25" s="11" t="n">
        <v>13.86524822695029</v>
      </c>
      <c r="Q25" s="11" t="n">
        <v>4.999999999998295</v>
      </c>
      <c r="R25" s="11" t="n">
        <v>36.56534656477663</v>
      </c>
      <c r="S25" s="11" t="n">
        <v>2.451357916552418</v>
      </c>
      <c r="T25" s="11" t="n">
        <v>-51.5000000000001</v>
      </c>
      <c r="U25" s="7" t="inlineStr">
        <is>
          <t>2026-03-20</t>
        </is>
      </c>
      <c r="V25" s="11" t="n">
        <v>113.9999999999986</v>
      </c>
      <c r="W25" s="7" t="inlineStr">
        <is>
          <t>2026-09-18</t>
        </is>
      </c>
      <c r="X25" s="11" t="n">
        <v>97.16312056737588</v>
      </c>
      <c r="Y25" s="11" t="n">
        <v>2.836879432624116</v>
      </c>
      <c r="Z25" s="11" t="n">
        <v>154.9999999999984</v>
      </c>
      <c r="AA25" s="11" t="n">
        <v>10.5000000000004</v>
      </c>
      <c r="AB25" s="11" t="n">
        <v>-7.000000000003581</v>
      </c>
      <c r="AC25" s="11" t="n">
        <v>51.99999999999818</v>
      </c>
      <c r="AD25" s="11" t="n">
        <v>6.433806963627342</v>
      </c>
      <c r="AE25" s="18" t="inlineStr">
        <is>
          <t>EXTREME HIGH</t>
        </is>
      </c>
      <c r="AF25" s="7" t="inlineStr">
        <is>
          <t>SHORT level / receive positive-rate weights</t>
        </is>
      </c>
      <c r="AG25" s="11" t="n">
        <v>89.63475177304795</v>
      </c>
      <c r="AH25" s="7" t="inlineStr">
        <is>
          <t>SHORT</t>
        </is>
      </c>
      <c r="AI25" s="7" t="inlineStr">
        <is>
          <t>PAY J8Z26; RECEIVE J8Z28; PAY IMZ26; RECEIVE 2× IMU27; PAY IMZ28</t>
        </is>
      </c>
      <c r="AJ25" s="7" t="inlineStr">
        <is>
          <t>J8Z26 -1, J8Z28 +1, IMZ26 -1, IMU27 +2, IMZ28 -1</t>
        </is>
      </c>
    </row>
    <row r="26">
      <c r="A26" s="8" t="inlineStr">
        <is>
          <t>COMBO_14</t>
        </is>
      </c>
      <c r="B26" s="8" t="inlineStr">
        <is>
          <t>GB_BUILD</t>
        </is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1</v>
      </c>
      <c r="H26" s="8" t="n">
        <v>1</v>
      </c>
      <c r="I26" s="8" t="inlineStr">
        <is>
          <t>Unique ±1/0 linear combination; inverse represented by trade direction</t>
        </is>
      </c>
      <c r="J26" s="8" t="n">
        <v>141</v>
      </c>
      <c r="K26" s="10" t="n">
        <v>6.499999999999773</v>
      </c>
      <c r="L26" s="10" t="n">
        <v>56.49999999999977</v>
      </c>
      <c r="M26" s="10" t="n">
        <v>56.99999999999932</v>
      </c>
      <c r="N26" s="10" t="n">
        <v>0.4999999999995453</v>
      </c>
      <c r="O26" s="10" t="n">
        <v>50.49999999999955</v>
      </c>
      <c r="P26" s="10" t="n">
        <v>9.499999999999988</v>
      </c>
      <c r="Q26" s="10" t="n">
        <v>5.500000000000682</v>
      </c>
      <c r="R26" s="10" t="n">
        <v>18.95115902976459</v>
      </c>
      <c r="S26" s="10" t="n">
        <v>2.506443005696701</v>
      </c>
      <c r="T26" s="10" t="n">
        <v>-20.49999999999983</v>
      </c>
      <c r="U26" s="8" t="inlineStr">
        <is>
          <t>2026-03-20</t>
        </is>
      </c>
      <c r="V26" s="10" t="n">
        <v>62.99999999999963</v>
      </c>
      <c r="W26" s="8" t="inlineStr">
        <is>
          <t>2026-09-18</t>
        </is>
      </c>
      <c r="X26" s="10" t="n">
        <v>97.16312056737588</v>
      </c>
      <c r="Y26" s="10" t="n">
        <v>2.836879432624116</v>
      </c>
      <c r="Z26" s="10" t="n">
        <v>77.49999999999915</v>
      </c>
      <c r="AA26" s="10" t="n">
        <v>6.000000000000313</v>
      </c>
      <c r="AB26" s="10" t="n">
        <v>-1.500000000000057</v>
      </c>
      <c r="AC26" s="10" t="n">
        <v>26.99999999999818</v>
      </c>
      <c r="AD26" s="10" t="n">
        <v>3.393851750143591</v>
      </c>
      <c r="AE26" s="18" t="inlineStr">
        <is>
          <t>EXTREME HIGH</t>
        </is>
      </c>
      <c r="AF26" s="8" t="inlineStr">
        <is>
          <t>SHORT level / receive positive-rate weights</t>
        </is>
      </c>
      <c r="AG26" s="10" t="n">
        <v>47.49999999999933</v>
      </c>
      <c r="AH26" s="8" t="inlineStr">
        <is>
          <t>SHORT</t>
        </is>
      </c>
      <c r="AI26" s="8" t="inlineStr">
        <is>
          <t>PAY J8Z26; RECEIVE J8U27</t>
        </is>
      </c>
      <c r="AJ26" s="8" t="inlineStr">
        <is>
          <t>J8Z26 -1, J8U27 +1</t>
        </is>
      </c>
    </row>
    <row r="27">
      <c r="A27" s="7" t="inlineStr">
        <is>
          <t>COMBO_10</t>
        </is>
      </c>
      <c r="B27" s="7" t="inlineStr">
        <is>
          <t>GB_BUILD + EU_BUILD + EU_CUT</t>
        </is>
      </c>
      <c r="C27" s="7" t="n">
        <v>1</v>
      </c>
      <c r="D27" s="7" t="n">
        <v>0</v>
      </c>
      <c r="E27" s="7" t="n">
        <v>1</v>
      </c>
      <c r="F27" s="7" t="n">
        <v>1</v>
      </c>
      <c r="G27" s="7" t="n">
        <v>3</v>
      </c>
      <c r="H27" s="7" t="n">
        <v>3</v>
      </c>
      <c r="I27" s="7" t="inlineStr">
        <is>
          <t>Unique ±1/0 linear combination; inverse represented by trade direction</t>
        </is>
      </c>
      <c r="J27" s="7" t="n">
        <v>141</v>
      </c>
      <c r="K27" s="11" t="n">
        <v>-4.999999999999716</v>
      </c>
      <c r="L27" s="11" t="n">
        <v>116.5000000000006</v>
      </c>
      <c r="M27" s="11" t="n">
        <v>118.9999999999984</v>
      </c>
      <c r="N27" s="11" t="n">
        <v>2.499999999997726</v>
      </c>
      <c r="O27" s="11" t="n">
        <v>123.9999999999981</v>
      </c>
      <c r="P27" s="11" t="n">
        <v>19.9893617021276</v>
      </c>
      <c r="Q27" s="11" t="n">
        <v>7.99999999999832</v>
      </c>
      <c r="R27" s="11" t="n">
        <v>36.1104688067991</v>
      </c>
      <c r="S27" s="11" t="n">
        <v>2.741881830103198</v>
      </c>
      <c r="T27" s="11" t="n">
        <v>-27.50000000000061</v>
      </c>
      <c r="U27" s="7" t="inlineStr">
        <is>
          <t>2026-03-20</t>
        </is>
      </c>
      <c r="V27" s="11" t="n">
        <v>129.4999999999988</v>
      </c>
      <c r="W27" s="7" t="inlineStr">
        <is>
          <t>2026-09-18</t>
        </is>
      </c>
      <c r="X27" s="11" t="n">
        <v>97.16312056737588</v>
      </c>
      <c r="Y27" s="11" t="n">
        <v>2.836879432624116</v>
      </c>
      <c r="Z27" s="11" t="n">
        <v>146.499999999999</v>
      </c>
      <c r="AA27" s="11" t="n">
        <v>10.50000000000048</v>
      </c>
      <c r="AB27" s="11" t="n">
        <v>-1.500000000002899</v>
      </c>
      <c r="AC27" s="11" t="n">
        <v>63.49999999999767</v>
      </c>
      <c r="AD27" s="11" t="n">
        <v>6.291864924990561</v>
      </c>
      <c r="AE27" s="18" t="inlineStr">
        <is>
          <t>EXTREME HIGH</t>
        </is>
      </c>
      <c r="AF27" s="7" t="inlineStr">
        <is>
          <t>SHORT level / receive positive-rate weights</t>
        </is>
      </c>
      <c r="AG27" s="11" t="n">
        <v>99.01063829787076</v>
      </c>
      <c r="AH27" s="7" t="inlineStr">
        <is>
          <t>SHORT</t>
        </is>
      </c>
      <c r="AI27" s="7" t="inlineStr">
        <is>
          <t>PAY J8Z26; RECEIVE J8U27; PAY IMZ26; RECEIVE 2× IMU27; PAY IMZ28</t>
        </is>
      </c>
      <c r="AJ27" s="7" t="inlineStr">
        <is>
          <t>J8Z26 -1, J8U27 +1, IMZ26 -1, IMU27 +2, IMZ28 -1</t>
        </is>
      </c>
    </row>
    <row r="28">
      <c r="A28" s="8" t="inlineStr">
        <is>
          <t>COMBO_23</t>
        </is>
      </c>
      <c r="B28" s="8" t="inlineStr">
        <is>
          <t>GB_BUILD − GB_CUT</t>
        </is>
      </c>
      <c r="C28" s="8" t="n">
        <v>1</v>
      </c>
      <c r="D28" s="8" t="n">
        <v>-1</v>
      </c>
      <c r="E28" s="8" t="n">
        <v>0</v>
      </c>
      <c r="F28" s="8" t="n">
        <v>0</v>
      </c>
      <c r="G28" s="8" t="n">
        <v>2</v>
      </c>
      <c r="H28" s="8" t="n">
        <v>2</v>
      </c>
      <c r="I28" s="8" t="inlineStr">
        <is>
          <t>Unique ±1/0 linear combination; inverse represented by trade direction</t>
        </is>
      </c>
      <c r="J28" s="8" t="n">
        <v>141</v>
      </c>
      <c r="K28" s="10" t="n">
        <v>24.50000000000045</v>
      </c>
      <c r="L28" s="10" t="n">
        <v>40.50000000000011</v>
      </c>
      <c r="M28" s="10" t="n">
        <v>41.4999999999992</v>
      </c>
      <c r="N28" s="10" t="n">
        <v>0.9999999999990905</v>
      </c>
      <c r="O28" s="10" t="n">
        <v>16.99999999999875</v>
      </c>
      <c r="P28" s="10" t="n">
        <v>3.375886524822678</v>
      </c>
      <c r="Q28" s="10" t="n">
        <v>4.000000000000625</v>
      </c>
      <c r="R28" s="10" t="n">
        <v>21.33651765906511</v>
      </c>
      <c r="S28" s="10" t="n">
        <v>1.786801111800874</v>
      </c>
      <c r="T28" s="10" t="n">
        <v>-44.49999999999932</v>
      </c>
      <c r="U28" s="8" t="inlineStr">
        <is>
          <t>2026-03-20</t>
        </is>
      </c>
      <c r="V28" s="10" t="n">
        <v>48.49999999999994</v>
      </c>
      <c r="W28" s="8" t="inlineStr">
        <is>
          <t>2026-09-15</t>
        </is>
      </c>
      <c r="X28" s="10" t="n">
        <v>96.45390070921985</v>
      </c>
      <c r="Y28" s="10" t="n">
        <v>3.546099290780148</v>
      </c>
      <c r="Z28" s="10" t="n">
        <v>85.99999999999852</v>
      </c>
      <c r="AA28" s="10" t="n">
        <v>7.000000000000739</v>
      </c>
      <c r="AB28" s="10" t="n">
        <v>-7.000000000000739</v>
      </c>
      <c r="AC28" s="10" t="n">
        <v>15.49999999999869</v>
      </c>
      <c r="AD28" s="10" t="n">
        <v>4.970731395516351</v>
      </c>
      <c r="AE28" s="18" t="inlineStr">
        <is>
          <t>EXTREME HIGH</t>
        </is>
      </c>
      <c r="AF28" s="8" t="inlineStr">
        <is>
          <t>SHORT level / receive positive-rate weights</t>
        </is>
      </c>
      <c r="AG28" s="10" t="n">
        <v>38.12411347517653</v>
      </c>
      <c r="AH28" s="8" t="inlineStr">
        <is>
          <t>SHORT</t>
        </is>
      </c>
      <c r="AI28" s="8" t="inlineStr">
        <is>
          <t>PAY J8Z26; RECEIVE J8Z28</t>
        </is>
      </c>
      <c r="AJ28" s="8" t="inlineStr">
        <is>
          <t>J8Z26 -1, J8Z28 +1</t>
        </is>
      </c>
    </row>
    <row r="29">
      <c r="A29" s="7" t="inlineStr">
        <is>
          <t>COMBO_21</t>
        </is>
      </c>
      <c r="B29" s="7" t="inlineStr">
        <is>
          <t>GB_BUILD − GB_CUT + EU_BUILD − EU_CUT</t>
        </is>
      </c>
      <c r="C29" s="7" t="n">
        <v>1</v>
      </c>
      <c r="D29" s="7" t="n">
        <v>-1</v>
      </c>
      <c r="E29" s="7" t="n">
        <v>1</v>
      </c>
      <c r="F29" s="7" t="n">
        <v>-1</v>
      </c>
      <c r="G29" s="7" t="n">
        <v>4</v>
      </c>
      <c r="H29" s="7" t="n">
        <v>4</v>
      </c>
      <c r="I29" s="7" t="inlineStr">
        <is>
          <t>Unique ±1/0 linear combination; inverse represented by trade direction</t>
        </is>
      </c>
      <c r="J29" s="7" t="n">
        <v>141</v>
      </c>
      <c r="K29" s="11" t="n">
        <v>54.00000000000063</v>
      </c>
      <c r="L29" s="11" t="n">
        <v>74.49999999999903</v>
      </c>
      <c r="M29" s="11" t="n">
        <v>76.50000000000006</v>
      </c>
      <c r="N29" s="11" t="n">
        <v>2.000000000001023</v>
      </c>
      <c r="O29" s="11" t="n">
        <v>22.49999999999943</v>
      </c>
      <c r="P29" s="11" t="n">
        <v>11.05673758865239</v>
      </c>
      <c r="Q29" s="11" t="n">
        <v>7.999999999998408</v>
      </c>
      <c r="R29" s="11" t="n">
        <v>33.38525616616769</v>
      </c>
      <c r="S29" s="11" t="n">
        <v>1.960244429026345</v>
      </c>
      <c r="T29" s="11" t="n">
        <v>-55.49999999999922</v>
      </c>
      <c r="U29" s="7" t="inlineStr">
        <is>
          <t>2026-03-20</t>
        </is>
      </c>
      <c r="V29" s="11" t="n">
        <v>87.99999999999955</v>
      </c>
      <c r="W29" s="7" t="inlineStr">
        <is>
          <t>2026-09-18</t>
        </is>
      </c>
      <c r="X29" s="11" t="n">
        <v>96.45390070921985</v>
      </c>
      <c r="Y29" s="11" t="n">
        <v>3.546099290780148</v>
      </c>
      <c r="Z29" s="11" t="n">
        <v>131.9999999999993</v>
      </c>
      <c r="AA29" s="11" t="n">
        <v>11.49999999999949</v>
      </c>
      <c r="AB29" s="11" t="n">
        <v>-10.99999999999994</v>
      </c>
      <c r="AC29" s="11" t="n">
        <v>34.00000000000034</v>
      </c>
      <c r="AD29" s="11" t="n">
        <v>8.214583421031744</v>
      </c>
      <c r="AE29" s="18" t="inlineStr">
        <is>
          <t>EXTREME HIGH</t>
        </is>
      </c>
      <c r="AF29" s="7" t="inlineStr">
        <is>
          <t>SHORT level / receive positive-rate weights</t>
        </is>
      </c>
      <c r="AG29" s="11" t="n">
        <v>65.44326241134766</v>
      </c>
      <c r="AH29" s="7" t="inlineStr">
        <is>
          <t>SHORT</t>
        </is>
      </c>
      <c r="AI29" s="7" t="inlineStr">
        <is>
          <t>PAY J8Z26; RECEIVE J8Z28; PAY IMZ26; RECEIVE IMZ28</t>
        </is>
      </c>
      <c r="AJ29" s="7" t="inlineStr">
        <is>
          <t>J8Z26 -1, J8Z28 +1, IMZ26 -1, IMZ28 +1</t>
        </is>
      </c>
    </row>
    <row r="30">
      <c r="A30" s="8" t="inlineStr">
        <is>
          <t>COMBO_36</t>
        </is>
      </c>
      <c r="B30" s="8" t="inlineStr">
        <is>
          <t>GB_CUT − EU_BUILD − EU_CUT</t>
        </is>
      </c>
      <c r="C30" s="8" t="n">
        <v>0</v>
      </c>
      <c r="D30" s="8" t="n">
        <v>1</v>
      </c>
      <c r="E30" s="8" t="n">
        <v>-1</v>
      </c>
      <c r="F30" s="8" t="n">
        <v>-1</v>
      </c>
      <c r="G30" s="8" t="n">
        <v>3</v>
      </c>
      <c r="H30" s="8" t="n">
        <v>3</v>
      </c>
      <c r="I30" s="8" t="inlineStr">
        <is>
          <t>Unique ±1/0 linear combination; inverse represented by trade direction</t>
        </is>
      </c>
      <c r="J30" s="8" t="n">
        <v>141</v>
      </c>
      <c r="K30" s="10" t="n">
        <v>-6.500000000001194</v>
      </c>
      <c r="L30" s="10" t="n">
        <v>-44.00000000000119</v>
      </c>
      <c r="M30" s="10" t="n">
        <v>-46.49999999999892</v>
      </c>
      <c r="N30" s="10" t="n">
        <v>-2.499999999997726</v>
      </c>
      <c r="O30" s="10" t="n">
        <v>-39.99999999999773</v>
      </c>
      <c r="P30" s="10" t="n">
        <v>-4.365248226950305</v>
      </c>
      <c r="Q30" s="10" t="n">
        <v>0.4999999999980353</v>
      </c>
      <c r="R30" s="10" t="n">
        <v>17.77235809506914</v>
      </c>
      <c r="S30" s="10" t="n">
        <v>-2.370802543346158</v>
      </c>
      <c r="T30" s="10" t="n">
        <v>-53.49999999999966</v>
      </c>
      <c r="U30" s="8" t="inlineStr">
        <is>
          <t>2026-09-14</t>
        </is>
      </c>
      <c r="V30" s="10" t="n">
        <v>31.00000000000027</v>
      </c>
      <c r="W30" s="8" t="inlineStr">
        <is>
          <t>2026-03-20</t>
        </is>
      </c>
      <c r="X30" s="10" t="n">
        <v>4.964539007092199</v>
      </c>
      <c r="Y30" s="10" t="n">
        <v>4.964539007092199</v>
      </c>
      <c r="Z30" s="10" t="n">
        <v>7.000000000000739</v>
      </c>
      <c r="AA30" s="10" t="n">
        <v>77.49999999999919</v>
      </c>
      <c r="AB30" s="10" t="n">
        <v>5.500000000003524</v>
      </c>
      <c r="AC30" s="10" t="n">
        <v>-25</v>
      </c>
      <c r="AD30" s="10" t="n">
        <v>3.583607190153383</v>
      </c>
      <c r="AE30" s="18" t="inlineStr">
        <is>
          <t>EXTREME LOW</t>
        </is>
      </c>
      <c r="AF30" s="8" t="inlineStr">
        <is>
          <t>LONG level / pay positive-rate weights</t>
        </is>
      </c>
      <c r="AG30" s="10" t="n">
        <v>42.13475177304861</v>
      </c>
      <c r="AH30" s="8" t="inlineStr">
        <is>
          <t>LONG</t>
        </is>
      </c>
      <c r="AI30" s="8" t="inlineStr">
        <is>
          <t>PAY J8U27; RECEIVE J8Z28; PAY IMZ26; RECEIVE 2× IMU27; PAY IMZ28</t>
        </is>
      </c>
      <c r="AJ30" s="8" t="inlineStr">
        <is>
          <t>J8U27 +1, J8Z28 -1, IMZ26 +1, IMU27 -2, IMZ28 +1</t>
        </is>
      </c>
    </row>
    <row r="31">
      <c r="A31" s="7" t="inlineStr">
        <is>
          <t>COMBO_09</t>
        </is>
      </c>
      <c r="B31" s="7" t="inlineStr">
        <is>
          <t>GB_BUILD + GB_CUT − EU_BUILD − EU_CUT</t>
        </is>
      </c>
      <c r="C31" s="7" t="n">
        <v>1</v>
      </c>
      <c r="D31" s="7" t="n">
        <v>1</v>
      </c>
      <c r="E31" s="7" t="n">
        <v>-1</v>
      </c>
      <c r="F31" s="7" t="n">
        <v>-1</v>
      </c>
      <c r="G31" s="7" t="n">
        <v>4</v>
      </c>
      <c r="H31" s="7" t="n">
        <v>4</v>
      </c>
      <c r="I31" s="7" t="inlineStr">
        <is>
          <t>Unique ±1/0 linear combination; inverse represented by trade direction</t>
        </is>
      </c>
      <c r="J31" s="7" t="n">
        <v>141</v>
      </c>
      <c r="K31" s="11" t="n">
        <v>-1.4210854715202e-12</v>
      </c>
      <c r="L31" s="11" t="n">
        <v>12.49999999999858</v>
      </c>
      <c r="M31" s="11" t="n">
        <v>10.5000000000004</v>
      </c>
      <c r="N31" s="11" t="n">
        <v>-1.999999999998181</v>
      </c>
      <c r="O31" s="11" t="n">
        <v>10.50000000000182</v>
      </c>
      <c r="P31" s="11" t="n">
        <v>5.134751773049683</v>
      </c>
      <c r="Q31" s="11" t="n">
        <v>5.49999999999784</v>
      </c>
      <c r="R31" s="11" t="n">
        <v>3.603014329609705</v>
      </c>
      <c r="S31" s="11" t="n">
        <v>1.489099885853605</v>
      </c>
      <c r="T31" s="11" t="n">
        <v>-3.000000000000158</v>
      </c>
      <c r="U31" s="7" t="inlineStr">
        <is>
          <t>2026-04-17</t>
        </is>
      </c>
      <c r="V31" s="11" t="n">
        <v>14.99999999999915</v>
      </c>
      <c r="W31" s="7" t="inlineStr">
        <is>
          <t>2026-05-18</t>
        </is>
      </c>
      <c r="X31" s="11" t="n">
        <v>94.32624113475178</v>
      </c>
      <c r="Y31" s="11" t="n">
        <v>5.673758865248217</v>
      </c>
      <c r="Z31" s="11" t="n">
        <v>13.50000000000056</v>
      </c>
      <c r="AA31" s="11" t="n">
        <v>4.499999999998749</v>
      </c>
      <c r="AB31" s="11" t="n">
        <v>4.000000000003467</v>
      </c>
      <c r="AC31" s="11" t="n">
        <v>1.999999999998181</v>
      </c>
      <c r="AD31" s="11" t="n">
        <v>2.706855804309456</v>
      </c>
      <c r="AE31" s="19" t="inlineStr">
        <is>
          <t>WATCH HIGH</t>
        </is>
      </c>
      <c r="AF31" s="7" t="inlineStr">
        <is>
          <t>Lean SHORT</t>
        </is>
      </c>
      <c r="AG31" s="11" t="n">
        <v>5.365248226950715</v>
      </c>
      <c r="AH31" s="7" t="inlineStr">
        <is>
          <t>SHORT</t>
        </is>
      </c>
      <c r="AI31" s="7" t="inlineStr">
        <is>
          <t>PAY J8Z26; RECEIVE 2× J8U27; PAY J8Z28; RECEIVE IMZ26; PAY 2× IMU27; RECEIVE IMZ28</t>
        </is>
      </c>
      <c r="AJ31" s="7" t="inlineStr">
        <is>
          <t>J8Z26 -1, J8U27 +2, J8Z28 -1, IMZ26 +1, IMU27 -2, IMZ28 +1</t>
        </is>
      </c>
    </row>
    <row r="32">
      <c r="A32" s="8" t="inlineStr">
        <is>
          <t>COMBO_35</t>
        </is>
      </c>
      <c r="B32" s="8" t="inlineStr">
        <is>
          <t>GB_CUT − EU_BUILD</t>
        </is>
      </c>
      <c r="C32" s="8" t="n">
        <v>0</v>
      </c>
      <c r="D32" s="8" t="n">
        <v>1</v>
      </c>
      <c r="E32" s="8" t="n">
        <v>-1</v>
      </c>
      <c r="F32" s="8" t="n">
        <v>0</v>
      </c>
      <c r="G32" s="8" t="n">
        <v>2</v>
      </c>
      <c r="H32" s="8" t="n">
        <v>2</v>
      </c>
      <c r="I32" s="8" t="inlineStr">
        <is>
          <t>Unique ±1/0 linear combination; inverse represented by trade direction</t>
        </is>
      </c>
      <c r="J32" s="8" t="n">
        <v>141</v>
      </c>
      <c r="K32" s="10" t="n">
        <v>-27.00000000000102</v>
      </c>
      <c r="L32" s="10" t="n">
        <v>-31.00000000000023</v>
      </c>
      <c r="M32" s="10" t="n">
        <v>-32.99999999999983</v>
      </c>
      <c r="N32" s="10" t="n">
        <v>-1.999999999999602</v>
      </c>
      <c r="O32" s="10" t="n">
        <v>-5.999999999998806</v>
      </c>
      <c r="P32" s="10" t="n">
        <v>-2.960992907801356</v>
      </c>
      <c r="Q32" s="10" t="n">
        <v>-3.499999999999659</v>
      </c>
      <c r="R32" s="10" t="n">
        <v>16.4633869673181</v>
      </c>
      <c r="S32" s="10" t="n">
        <v>-1.824594608134382</v>
      </c>
      <c r="T32" s="10" t="n">
        <v>-40.50000000000153</v>
      </c>
      <c r="U32" s="8" t="inlineStr">
        <is>
          <t>2026-09-15</t>
        </is>
      </c>
      <c r="V32" s="10" t="n">
        <v>32.99999999999983</v>
      </c>
      <c r="W32" s="8" t="inlineStr">
        <is>
          <t>2026-03-20</t>
        </is>
      </c>
      <c r="X32" s="10" t="n">
        <v>5.673758865248227</v>
      </c>
      <c r="Y32" s="10" t="n">
        <v>5.673758865248227</v>
      </c>
      <c r="Z32" s="10" t="n">
        <v>7.500000000001705</v>
      </c>
      <c r="AA32" s="10" t="n">
        <v>65.99999999999966</v>
      </c>
      <c r="AB32" s="10" t="n">
        <v>7.500000000001705</v>
      </c>
      <c r="AC32" s="10" t="n">
        <v>-16.00000000000108</v>
      </c>
      <c r="AD32" s="10" t="n">
        <v>4.278726746284827</v>
      </c>
      <c r="AE32" s="19" t="inlineStr">
        <is>
          <t>WATCH LOW</t>
        </is>
      </c>
      <c r="AF32" s="8" t="inlineStr">
        <is>
          <t>Lean LONG</t>
        </is>
      </c>
      <c r="AG32" s="10" t="n">
        <v>30.03900709219847</v>
      </c>
      <c r="AH32" s="8" t="inlineStr">
        <is>
          <t>LONG</t>
        </is>
      </c>
      <c r="AI32" s="8" t="inlineStr">
        <is>
          <t>PAY J8U27; RECEIVE J8Z28; PAY IMZ26; RECEIVE IMU27</t>
        </is>
      </c>
      <c r="AJ32" s="8" t="inlineStr">
        <is>
          <t>J8U27 +1, J8Z28 -1, IMZ26 +1, IMU27 -1</t>
        </is>
      </c>
    </row>
    <row r="33">
      <c r="A33" s="7" t="inlineStr">
        <is>
          <t>COMBO_32</t>
        </is>
      </c>
      <c r="B33" s="7" t="inlineStr">
        <is>
          <t>GB_CUT</t>
        </is>
      </c>
      <c r="C33" s="7" t="n">
        <v>0</v>
      </c>
      <c r="D33" s="7" t="n">
        <v>1</v>
      </c>
      <c r="E33" s="7" t="n">
        <v>0</v>
      </c>
      <c r="F33" s="7" t="n">
        <v>0</v>
      </c>
      <c r="G33" s="7" t="n">
        <v>1</v>
      </c>
      <c r="H33" s="7" t="n">
        <v>1</v>
      </c>
      <c r="I33" s="7" t="inlineStr">
        <is>
          <t>Unique ±1/0 linear combination; inverse represented by trade direction</t>
        </is>
      </c>
      <c r="J33" s="7" t="n">
        <v>141</v>
      </c>
      <c r="K33" s="11" t="n">
        <v>-18.00000000000068</v>
      </c>
      <c r="L33" s="11" t="n">
        <v>15.99999999999966</v>
      </c>
      <c r="M33" s="11" t="n">
        <v>15.50000000000011</v>
      </c>
      <c r="N33" s="11" t="n">
        <v>-0.4999999999995453</v>
      </c>
      <c r="O33" s="11" t="n">
        <v>33.5000000000008</v>
      </c>
      <c r="P33" s="11" t="n">
        <v>6.124113475177309</v>
      </c>
      <c r="Q33" s="11" t="n">
        <v>6.499999999999773</v>
      </c>
      <c r="R33" s="11" t="n">
        <v>7.816912988689628</v>
      </c>
      <c r="S33" s="11" t="n">
        <v>1.199435958720389</v>
      </c>
      <c r="T33" s="11" t="n">
        <v>-18.00000000000068</v>
      </c>
      <c r="U33" s="7" t="inlineStr">
        <is>
          <t>2026-03-02</t>
        </is>
      </c>
      <c r="V33" s="11" t="n">
        <v>23.99999999999949</v>
      </c>
      <c r="W33" s="7" t="inlineStr">
        <is>
          <t>2026-03-20</t>
        </is>
      </c>
      <c r="X33" s="11" t="n">
        <v>90.78014184397163</v>
      </c>
      <c r="Y33" s="11" t="n">
        <v>9.219858156028366</v>
      </c>
      <c r="Z33" s="11" t="n">
        <v>33.5000000000008</v>
      </c>
      <c r="AA33" s="11" t="n">
        <v>8.499999999999375</v>
      </c>
      <c r="AB33" s="11" t="n">
        <v>5.500000000000682</v>
      </c>
      <c r="AC33" s="11" t="n">
        <v>11.49999999999949</v>
      </c>
      <c r="AD33" s="11" t="n">
        <v>3.154571797745771</v>
      </c>
      <c r="AE33" s="19" t="inlineStr">
        <is>
          <t>WATCH HIGH</t>
        </is>
      </c>
      <c r="AF33" s="7" t="inlineStr">
        <is>
          <t>Lean SHORT</t>
        </is>
      </c>
      <c r="AG33" s="11" t="n">
        <v>9.375886524822805</v>
      </c>
      <c r="AH33" s="7" t="inlineStr">
        <is>
          <t>SHORT</t>
        </is>
      </c>
      <c r="AI33" s="7" t="inlineStr">
        <is>
          <t>RECEIVE J8U27; PAY J8Z28</t>
        </is>
      </c>
      <c r="AJ33" s="7" t="inlineStr">
        <is>
          <t>J8U27 +1, J8Z28 -1</t>
        </is>
      </c>
    </row>
    <row r="34">
      <c r="A34" s="8" t="inlineStr">
        <is>
          <t>COMBO_17</t>
        </is>
      </c>
      <c r="B34" s="8" t="inlineStr">
        <is>
          <t>GB_BUILD − EU_BUILD</t>
        </is>
      </c>
      <c r="C34" s="8" t="n">
        <v>1</v>
      </c>
      <c r="D34" s="8" t="n">
        <v>0</v>
      </c>
      <c r="E34" s="8" t="n">
        <v>-1</v>
      </c>
      <c r="F34" s="8" t="n">
        <v>0</v>
      </c>
      <c r="G34" s="8" t="n">
        <v>2</v>
      </c>
      <c r="H34" s="8" t="n">
        <v>2</v>
      </c>
      <c r="I34" s="8" t="inlineStr">
        <is>
          <t>Unique ±1/0 linear combination; inverse represented by trade direction</t>
        </is>
      </c>
      <c r="J34" s="8" t="n">
        <v>141</v>
      </c>
      <c r="K34" s="10" t="n">
        <v>-2.500000000000568</v>
      </c>
      <c r="L34" s="10" t="n">
        <v>9.499999999999886</v>
      </c>
      <c r="M34" s="10" t="n">
        <v>8.499999999999375</v>
      </c>
      <c r="N34" s="10" t="n">
        <v>-1.000000000000512</v>
      </c>
      <c r="O34" s="10" t="n">
        <v>10.99999999999994</v>
      </c>
      <c r="P34" s="10" t="n">
        <v>0.4148936170213229</v>
      </c>
      <c r="Q34" s="10" t="n">
        <v>1.500000000000057</v>
      </c>
      <c r="R34" s="10" t="n">
        <v>6.218336205704359</v>
      </c>
      <c r="S34" s="10" t="n">
        <v>1.300204124627617</v>
      </c>
      <c r="T34" s="10" t="n">
        <v>-14.00000000000148</v>
      </c>
      <c r="U34" s="8" t="inlineStr">
        <is>
          <t>2026-03-19</t>
        </is>
      </c>
      <c r="V34" s="10" t="n">
        <v>10.5000000000004</v>
      </c>
      <c r="W34" s="8" t="inlineStr">
        <is>
          <t>2026-09-10</t>
        </is>
      </c>
      <c r="X34" s="10" t="n">
        <v>90.78014184397163</v>
      </c>
      <c r="Y34" s="10" t="n">
        <v>9.219858156028366</v>
      </c>
      <c r="Z34" s="10" t="n">
        <v>22.50000000000085</v>
      </c>
      <c r="AA34" s="10" t="n">
        <v>2.000000000001023</v>
      </c>
      <c r="AB34" s="10" t="n">
        <v>0.5000000000009663</v>
      </c>
      <c r="AC34" s="10" t="n">
        <v>-0.5000000000023874</v>
      </c>
      <c r="AD34" s="10" t="n">
        <v>1.943696164279298</v>
      </c>
      <c r="AE34" s="19" t="inlineStr">
        <is>
          <t>WATCH HIGH</t>
        </is>
      </c>
      <c r="AF34" s="8" t="inlineStr">
        <is>
          <t>Lean SHORT</t>
        </is>
      </c>
      <c r="AG34" s="10" t="n">
        <v>8.085106382978053</v>
      </c>
      <c r="AH34" s="8" t="inlineStr">
        <is>
          <t>SHORT</t>
        </is>
      </c>
      <c r="AI34" s="8" t="inlineStr">
        <is>
          <t>PAY J8Z26; RECEIVE J8U27; RECEIVE IMZ26; PAY IMU27</t>
        </is>
      </c>
      <c r="AJ34" s="8" t="inlineStr">
        <is>
          <t>J8Z26 -1, J8U27 +1, IMZ26 +1, IMU27 -1</t>
        </is>
      </c>
    </row>
    <row r="35">
      <c r="A35" s="7" t="inlineStr">
        <is>
          <t>COMBO_24</t>
        </is>
      </c>
      <c r="B35" s="7" t="inlineStr">
        <is>
          <t>GB_BUILD − GB_CUT − EU_CUT</t>
        </is>
      </c>
      <c r="C35" s="7" t="n">
        <v>1</v>
      </c>
      <c r="D35" s="7" t="n">
        <v>-1</v>
      </c>
      <c r="E35" s="7" t="n">
        <v>0</v>
      </c>
      <c r="F35" s="7" t="n">
        <v>-1</v>
      </c>
      <c r="G35" s="7" t="n">
        <v>3</v>
      </c>
      <c r="H35" s="7" t="n">
        <v>3</v>
      </c>
      <c r="I35" s="7" t="inlineStr">
        <is>
          <t>Unique ±1/0 linear combination; inverse represented by trade direction</t>
        </is>
      </c>
      <c r="J35" s="7" t="n">
        <v>141</v>
      </c>
      <c r="K35" s="11" t="n">
        <v>45.00000000000028</v>
      </c>
      <c r="L35" s="11" t="n">
        <v>27.49999999999915</v>
      </c>
      <c r="M35" s="11" t="n">
        <v>28.00000000000011</v>
      </c>
      <c r="N35" s="11" t="n">
        <v>0.5000000000009663</v>
      </c>
      <c r="O35" s="11" t="n">
        <v>-17.00000000000017</v>
      </c>
      <c r="P35" s="11" t="n">
        <v>1.971631205673732</v>
      </c>
      <c r="Q35" s="11" t="n">
        <v>1.499999999999968</v>
      </c>
      <c r="R35" s="11" t="n">
        <v>21.58006463064962</v>
      </c>
      <c r="S35" s="11" t="n">
        <v>1.206130252147575</v>
      </c>
      <c r="T35" s="11" t="n">
        <v>-46.49999999999888</v>
      </c>
      <c r="U35" s="7" t="inlineStr">
        <is>
          <t>2026-03-20</t>
        </is>
      </c>
      <c r="V35" s="11" t="n">
        <v>46.50000000000034</v>
      </c>
      <c r="W35" s="7" t="inlineStr">
        <is>
          <t>2026-03-05</t>
        </is>
      </c>
      <c r="X35" s="11" t="n">
        <v>88.65248226950354</v>
      </c>
      <c r="Y35" s="11" t="n">
        <v>11.34751773049646</v>
      </c>
      <c r="Z35" s="11" t="n">
        <v>74.49999999999899</v>
      </c>
      <c r="AA35" s="11" t="n">
        <v>18.50000000000023</v>
      </c>
      <c r="AB35" s="11" t="n">
        <v>-8.99999999999892</v>
      </c>
      <c r="AC35" s="11" t="n">
        <v>6.499999999999773</v>
      </c>
      <c r="AD35" s="11" t="n">
        <v>6.761579843001132</v>
      </c>
      <c r="AE35" s="7" t="inlineStr">
        <is>
          <t>NEUTRAL</t>
        </is>
      </c>
      <c r="AF35" s="7" t="inlineStr">
        <is>
          <t>No tail signal</t>
        </is>
      </c>
      <c r="AG35" s="11" t="n">
        <v>26.02836879432638</v>
      </c>
      <c r="AH35" s="7" t="inlineStr">
        <is>
          <t>SHORT</t>
        </is>
      </c>
      <c r="AI35" s="7" t="inlineStr">
        <is>
          <t>PAY J8Z26; RECEIVE J8Z28; PAY IMU27; RECEIVE IMZ28</t>
        </is>
      </c>
      <c r="AJ35" s="7" t="inlineStr">
        <is>
          <t>J8Z26 -1, J8Z28 +1, IMU27 -1, IMZ28 +1</t>
        </is>
      </c>
    </row>
    <row r="36">
      <c r="A36" s="8" t="inlineStr">
        <is>
          <t>COMBO_34</t>
        </is>
      </c>
      <c r="B36" s="8" t="inlineStr">
        <is>
          <t>GB_CUT − EU_BUILD + EU_CUT</t>
        </is>
      </c>
      <c r="C36" s="8" t="n">
        <v>0</v>
      </c>
      <c r="D36" s="8" t="n">
        <v>1</v>
      </c>
      <c r="E36" s="8" t="n">
        <v>-1</v>
      </c>
      <c r="F36" s="8" t="n">
        <v>1</v>
      </c>
      <c r="G36" s="8" t="n">
        <v>3</v>
      </c>
      <c r="H36" s="8" t="n">
        <v>3</v>
      </c>
      <c r="I36" s="8" t="inlineStr">
        <is>
          <t>Unique ±1/0 linear combination; inverse represented by trade direction</t>
        </is>
      </c>
      <c r="J36" s="8" t="n">
        <v>141</v>
      </c>
      <c r="K36" s="10" t="n">
        <v>-47.50000000000085</v>
      </c>
      <c r="L36" s="10" t="n">
        <v>-17.99999999999926</v>
      </c>
      <c r="M36" s="10" t="n">
        <v>-19.50000000000074</v>
      </c>
      <c r="N36" s="10" t="n">
        <v>-1.500000000001478</v>
      </c>
      <c r="O36" s="10" t="n">
        <v>28.00000000000011</v>
      </c>
      <c r="P36" s="10" t="n">
        <v>-1.556737588652407</v>
      </c>
      <c r="Q36" s="10" t="n">
        <v>-1.500000000000057</v>
      </c>
      <c r="R36" s="10" t="n">
        <v>17.72751011831413</v>
      </c>
      <c r="S36" s="10" t="n">
        <v>-1.012170479192749</v>
      </c>
      <c r="T36" s="10" t="n">
        <v>-47.50000000000085</v>
      </c>
      <c r="U36" s="8" t="inlineStr">
        <is>
          <t>2026-03-02</t>
        </is>
      </c>
      <c r="V36" s="10" t="n">
        <v>34.99999999999939</v>
      </c>
      <c r="W36" s="8" t="inlineStr">
        <is>
          <t>2026-03-20</t>
        </is>
      </c>
      <c r="X36" s="10" t="n">
        <v>13.47517730496454</v>
      </c>
      <c r="Y36" s="10" t="n">
        <v>13.47517730496454</v>
      </c>
      <c r="Z36" s="10" t="n">
        <v>28.00000000000011</v>
      </c>
      <c r="AA36" s="10" t="n">
        <v>54.50000000000013</v>
      </c>
      <c r="AB36" s="10" t="n">
        <v>9.499999999999886</v>
      </c>
      <c r="AC36" s="10" t="n">
        <v>-7.00000000000216</v>
      </c>
      <c r="AD36" s="10" t="n">
        <v>6.198688652222788</v>
      </c>
      <c r="AE36" s="8" t="inlineStr">
        <is>
          <t>NEUTRAL</t>
        </is>
      </c>
      <c r="AF36" s="8" t="inlineStr">
        <is>
          <t>No tail signal</t>
        </is>
      </c>
      <c r="AG36" s="10" t="n">
        <v>17.94326241134833</v>
      </c>
      <c r="AH36" s="8" t="inlineStr">
        <is>
          <t>LONG</t>
        </is>
      </c>
      <c r="AI36" s="8" t="inlineStr">
        <is>
          <t>PAY J8U27; RECEIVE J8Z28; PAY IMZ26; RECEIVE IMZ28</t>
        </is>
      </c>
      <c r="AJ36" s="8" t="inlineStr">
        <is>
          <t>J8U27 +1, J8Z28 -1, IMZ26 +1, IMZ28 -1</t>
        </is>
      </c>
    </row>
    <row r="37">
      <c r="A37" s="7" t="inlineStr">
        <is>
          <t>COMBO_27</t>
        </is>
      </c>
      <c r="B37" s="7" t="inlineStr">
        <is>
          <t>GB_BUILD − GB_CUT − EU_BUILD − EU_CUT</t>
        </is>
      </c>
      <c r="C37" s="7" t="n">
        <v>1</v>
      </c>
      <c r="D37" s="7" t="n">
        <v>-1</v>
      </c>
      <c r="E37" s="7" t="n">
        <v>-1</v>
      </c>
      <c r="F37" s="7" t="n">
        <v>-1</v>
      </c>
      <c r="G37" s="7" t="n">
        <v>4</v>
      </c>
      <c r="H37" s="7" t="n">
        <v>4</v>
      </c>
      <c r="I37" s="7" t="inlineStr">
        <is>
          <t>Unique ±1/0 linear combination; inverse represented by trade direction</t>
        </is>
      </c>
      <c r="J37" s="7" t="n">
        <v>141</v>
      </c>
      <c r="K37" s="11" t="n">
        <v>35.99999999999994</v>
      </c>
      <c r="L37" s="11" t="n">
        <v>-19.50000000000074</v>
      </c>
      <c r="M37" s="11" t="n">
        <v>-20.49999999999983</v>
      </c>
      <c r="N37" s="11" t="n">
        <v>-0.9999999999990905</v>
      </c>
      <c r="O37" s="11" t="n">
        <v>-56.49999999999977</v>
      </c>
      <c r="P37" s="11" t="n">
        <v>-7.113475177304935</v>
      </c>
      <c r="Q37" s="11" t="n">
        <v>-7.999999999998408</v>
      </c>
      <c r="R37" s="11" t="n">
        <v>14.45885403411134</v>
      </c>
      <c r="S37" s="11" t="n">
        <v>-0.9258358090560563</v>
      </c>
      <c r="T37" s="11" t="n">
        <v>-37.49999999999854</v>
      </c>
      <c r="U37" s="7" t="inlineStr">
        <is>
          <t>2026-03-20</t>
        </is>
      </c>
      <c r="V37" s="11" t="n">
        <v>37.00000000000045</v>
      </c>
      <c r="W37" s="7" t="inlineStr">
        <is>
          <t>2026-03-04</t>
        </is>
      </c>
      <c r="X37" s="11" t="n">
        <v>16.31205673758866</v>
      </c>
      <c r="Y37" s="11" t="n">
        <v>16.31205673758866</v>
      </c>
      <c r="Z37" s="11" t="n">
        <v>16.99999999999871</v>
      </c>
      <c r="AA37" s="11" t="n">
        <v>57.50000000000028</v>
      </c>
      <c r="AB37" s="11" t="n">
        <v>-6.999999999997897</v>
      </c>
      <c r="AC37" s="11" t="n">
        <v>-21.0000000000008</v>
      </c>
      <c r="AD37" s="11" t="n">
        <v>6.047443252065151</v>
      </c>
      <c r="AE37" s="7" t="inlineStr">
        <is>
          <t>NEUTRAL</t>
        </is>
      </c>
      <c r="AF37" s="7" t="inlineStr">
        <is>
          <t>No tail signal</t>
        </is>
      </c>
      <c r="AG37" s="11" t="n">
        <v>13.38652482269489</v>
      </c>
      <c r="AH37" s="7" t="inlineStr">
        <is>
          <t>LONG</t>
        </is>
      </c>
      <c r="AI37" s="7" t="inlineStr">
        <is>
          <t>RECEIVE J8Z26; PAY J8Z28; PAY IMZ26; RECEIVE 2× IMU27; PAY IMZ28</t>
        </is>
      </c>
      <c r="AJ37" s="7" t="inlineStr">
        <is>
          <t>J8Z26 -1, J8Z28 +1, IMZ26 +1, IMU27 -2, IMZ28 +1</t>
        </is>
      </c>
    </row>
    <row r="38">
      <c r="A38" s="8" t="inlineStr">
        <is>
          <t>COMBO_25</t>
        </is>
      </c>
      <c r="B38" s="8" t="inlineStr">
        <is>
          <t>GB_BUILD − GB_CUT − EU_BUILD + EU_CUT</t>
        </is>
      </c>
      <c r="C38" s="8" t="n">
        <v>1</v>
      </c>
      <c r="D38" s="8" t="n">
        <v>-1</v>
      </c>
      <c r="E38" s="8" t="n">
        <v>-1</v>
      </c>
      <c r="F38" s="8" t="n">
        <v>1</v>
      </c>
      <c r="G38" s="8" t="n">
        <v>4</v>
      </c>
      <c r="H38" s="8" t="n">
        <v>4</v>
      </c>
      <c r="I38" s="8" t="inlineStr">
        <is>
          <t>Unique ±1/0 linear combination; inverse represented by trade direction</t>
        </is>
      </c>
      <c r="J38" s="8" t="n">
        <v>141</v>
      </c>
      <c r="K38" s="10" t="n">
        <v>-4.999999999999716</v>
      </c>
      <c r="L38" s="10" t="n">
        <v>6.500000000001194</v>
      </c>
      <c r="M38" s="10" t="n">
        <v>6.499999999998352</v>
      </c>
      <c r="N38" s="10" t="n">
        <v>-2.842170943040401e-12</v>
      </c>
      <c r="O38" s="10" t="n">
        <v>11.49999999999807</v>
      </c>
      <c r="P38" s="10" t="n">
        <v>-4.304964539007036</v>
      </c>
      <c r="Q38" s="10" t="n">
        <v>-1.500000000000057</v>
      </c>
      <c r="R38" s="10" t="n">
        <v>10.99411742862728</v>
      </c>
      <c r="S38" s="10" t="n">
        <v>0.982795081929054</v>
      </c>
      <c r="T38" s="10" t="n">
        <v>-33.49999999999942</v>
      </c>
      <c r="U38" s="8" t="inlineStr">
        <is>
          <t>2026-03-20</t>
        </is>
      </c>
      <c r="V38" s="10" t="n">
        <v>13.50000000000051</v>
      </c>
      <c r="W38" s="8" t="inlineStr">
        <is>
          <t>2026-09-10</t>
        </is>
      </c>
      <c r="X38" s="10" t="n">
        <v>82.26950354609929</v>
      </c>
      <c r="Y38" s="10" t="n">
        <v>17.73049645390071</v>
      </c>
      <c r="Z38" s="10" t="n">
        <v>39.99999999999777</v>
      </c>
      <c r="AA38" s="10" t="n">
        <v>7.00000000000216</v>
      </c>
      <c r="AB38" s="10" t="n">
        <v>-3.000000000001535</v>
      </c>
      <c r="AC38" s="10" t="n">
        <v>-3.000000000002956</v>
      </c>
      <c r="AD38" s="10" t="n">
        <v>2.813514862005474</v>
      </c>
      <c r="AE38" s="8" t="inlineStr">
        <is>
          <t>NEUTRAL</t>
        </is>
      </c>
      <c r="AF38" s="8" t="inlineStr">
        <is>
          <t>No tail signal</t>
        </is>
      </c>
      <c r="AG38" s="10" t="n">
        <v>10.80496453900539</v>
      </c>
      <c r="AH38" s="8" t="inlineStr">
        <is>
          <t>SHORT</t>
        </is>
      </c>
      <c r="AI38" s="8" t="inlineStr">
        <is>
          <t>PAY J8Z26; RECEIVE J8Z28; RECEIVE IMZ26; PAY IMZ28</t>
        </is>
      </c>
      <c r="AJ38" s="8" t="inlineStr">
        <is>
          <t>J8Z26 -1, J8Z28 +1, IMZ26 +1, IMZ28 -1</t>
        </is>
      </c>
    </row>
    <row r="39">
      <c r="A39" s="7" t="inlineStr">
        <is>
          <t>COMBO_18</t>
        </is>
      </c>
      <c r="B39" s="7" t="inlineStr">
        <is>
          <t>GB_BUILD − EU_BUILD − EU_CUT</t>
        </is>
      </c>
      <c r="C39" s="7" t="n">
        <v>1</v>
      </c>
      <c r="D39" s="7" t="n">
        <v>0</v>
      </c>
      <c r="E39" s="7" t="n">
        <v>-1</v>
      </c>
      <c r="F39" s="7" t="n">
        <v>-1</v>
      </c>
      <c r="G39" s="7" t="n">
        <v>3</v>
      </c>
      <c r="H39" s="7" t="n">
        <v>3</v>
      </c>
      <c r="I39" s="7" t="inlineStr">
        <is>
          <t>Unique ±1/0 linear combination; inverse represented by trade direction</t>
        </is>
      </c>
      <c r="J39" s="7" t="n">
        <v>141</v>
      </c>
      <c r="K39" s="11" t="n">
        <v>17.99999999999926</v>
      </c>
      <c r="L39" s="11" t="n">
        <v>-3.50000000000108</v>
      </c>
      <c r="M39" s="11" t="n">
        <v>-4.999999999999716</v>
      </c>
      <c r="N39" s="11" t="n">
        <v>-1.499999999998636</v>
      </c>
      <c r="O39" s="11" t="n">
        <v>-22.99999999999898</v>
      </c>
      <c r="P39" s="11" t="n">
        <v>-0.9893617021276263</v>
      </c>
      <c r="Q39" s="11" t="n">
        <v>-1.500000000000146</v>
      </c>
      <c r="R39" s="11" t="n">
        <v>7.065122606636823</v>
      </c>
      <c r="S39" s="11" t="n">
        <v>-0.5676671901071587</v>
      </c>
      <c r="T39" s="11" t="n">
        <v>-17.50000000000114</v>
      </c>
      <c r="U39" s="7" t="inlineStr">
        <is>
          <t>2026-03-19</t>
        </is>
      </c>
      <c r="V39" s="11" t="n">
        <v>20.00000000000028</v>
      </c>
      <c r="W39" s="7" t="inlineStr">
        <is>
          <t>2026-03-04</t>
        </is>
      </c>
      <c r="X39" s="11" t="n">
        <v>27.65957446808511</v>
      </c>
      <c r="Y39" s="11" t="n">
        <v>27.65957446808511</v>
      </c>
      <c r="Z39" s="11" t="n">
        <v>12.50000000000142</v>
      </c>
      <c r="AA39" s="11" t="n">
        <v>25</v>
      </c>
      <c r="AB39" s="11" t="n">
        <v>-1.499999999997215</v>
      </c>
      <c r="AC39" s="11" t="n">
        <v>-9.500000000001307</v>
      </c>
      <c r="AD39" s="11" t="n">
        <v>3.463812334553228</v>
      </c>
      <c r="AE39" s="7" t="inlineStr">
        <is>
          <t>NEUTRAL</t>
        </is>
      </c>
      <c r="AF39" s="7" t="inlineStr">
        <is>
          <t>No tail signal</t>
        </is>
      </c>
      <c r="AG39" s="11" t="n">
        <v>4.01063829787209</v>
      </c>
      <c r="AH39" s="7" t="inlineStr">
        <is>
          <t>LONG</t>
        </is>
      </c>
      <c r="AI39" s="7" t="inlineStr">
        <is>
          <t>RECEIVE J8Z26; PAY J8U27; PAY IMZ26; RECEIVE 2× IMU27; PAY IMZ28</t>
        </is>
      </c>
      <c r="AJ39" s="7" t="inlineStr">
        <is>
          <t>J8Z26 -1, J8U27 +1, IMZ26 +1, IMU27 -2, IMZ28 +1</t>
        </is>
      </c>
    </row>
    <row r="40">
      <c r="A40" s="8" t="inlineStr">
        <is>
          <t>COMBO_26</t>
        </is>
      </c>
      <c r="B40" s="8" t="inlineStr">
        <is>
          <t>GB_BUILD − GB_CUT − EU_BUILD</t>
        </is>
      </c>
      <c r="C40" s="8" t="n">
        <v>1</v>
      </c>
      <c r="D40" s="8" t="n">
        <v>-1</v>
      </c>
      <c r="E40" s="8" t="n">
        <v>-1</v>
      </c>
      <c r="F40" s="8" t="n">
        <v>0</v>
      </c>
      <c r="G40" s="8" t="n">
        <v>3</v>
      </c>
      <c r="H40" s="8" t="n">
        <v>3</v>
      </c>
      <c r="I40" s="8" t="inlineStr">
        <is>
          <t>Unique ±1/0 linear combination; inverse represented by trade direction</t>
        </is>
      </c>
      <c r="J40" s="8" t="n">
        <v>141</v>
      </c>
      <c r="K40" s="10" t="n">
        <v>15.50000000000011</v>
      </c>
      <c r="L40" s="10" t="n">
        <v>-6.499999999999773</v>
      </c>
      <c r="M40" s="10" t="n">
        <v>-7.000000000000739</v>
      </c>
      <c r="N40" s="10" t="n">
        <v>-0.5000000000009663</v>
      </c>
      <c r="O40" s="10" t="n">
        <v>-22.50000000000085</v>
      </c>
      <c r="P40" s="10" t="n">
        <v>-5.709219858155986</v>
      </c>
      <c r="Q40" s="10" t="n">
        <v>-4.499999999998749</v>
      </c>
      <c r="R40" s="10" t="n">
        <v>10.99759000034106</v>
      </c>
      <c r="S40" s="10" t="n">
        <v>-0.1173693638155926</v>
      </c>
      <c r="T40" s="10" t="n">
        <v>-35.49999999999898</v>
      </c>
      <c r="U40" s="8" t="inlineStr">
        <is>
          <t>2026-03-20</t>
        </is>
      </c>
      <c r="V40" s="10" t="n">
        <v>19.00000000000119</v>
      </c>
      <c r="W40" s="8" t="inlineStr">
        <is>
          <t>2026-03-06</t>
        </is>
      </c>
      <c r="X40" s="10" t="n">
        <v>43.26241134751773</v>
      </c>
      <c r="Y40" s="10" t="n">
        <v>43.26241134751773</v>
      </c>
      <c r="Z40" s="10" t="n">
        <v>28.49999999999824</v>
      </c>
      <c r="AA40" s="10" t="n">
        <v>26.00000000000193</v>
      </c>
      <c r="AB40" s="10" t="n">
        <v>-4.999999999999716</v>
      </c>
      <c r="AC40" s="10" t="n">
        <v>-12.00000000000188</v>
      </c>
      <c r="AD40" s="10" t="n">
        <v>3.862412419971855</v>
      </c>
      <c r="AE40" s="8" t="inlineStr">
        <is>
          <t>NEUTRAL</t>
        </is>
      </c>
      <c r="AF40" s="8" t="inlineStr">
        <is>
          <t>No tail signal</t>
        </is>
      </c>
      <c r="AG40" s="10" t="n">
        <v>1.290780141844753</v>
      </c>
      <c r="AH40" s="8" t="inlineStr">
        <is>
          <t>LONG</t>
        </is>
      </c>
      <c r="AI40" s="8" t="inlineStr">
        <is>
          <t>RECEIVE J8Z26; PAY J8Z28; PAY IMZ26; RECEIVE IMU27</t>
        </is>
      </c>
      <c r="AJ40" s="8" t="inlineStr">
        <is>
          <t>J8Z26 -1, J8Z28 +1, IMZ26 +1, IMU27 -1</t>
        </is>
      </c>
    </row>
    <row r="41">
      <c r="A41" s="7" t="inlineStr">
        <is>
          <t>COMBO_33</t>
        </is>
      </c>
      <c r="B41" s="7" t="inlineStr">
        <is>
          <t>GB_CUT − EU_CUT</t>
        </is>
      </c>
      <c r="C41" s="7" t="n">
        <v>0</v>
      </c>
      <c r="D41" s="7" t="n">
        <v>1</v>
      </c>
      <c r="E41" s="7" t="n">
        <v>0</v>
      </c>
      <c r="F41" s="7" t="n">
        <v>-1</v>
      </c>
      <c r="G41" s="7" t="n">
        <v>2</v>
      </c>
      <c r="H41" s="7" t="n">
        <v>2</v>
      </c>
      <c r="I41" s="7" t="inlineStr">
        <is>
          <t>Unique ±1/0 linear combination; inverse represented by trade direction</t>
        </is>
      </c>
      <c r="J41" s="7" t="n">
        <v>141</v>
      </c>
      <c r="K41" s="11" t="n">
        <v>2.499999999999147</v>
      </c>
      <c r="L41" s="11" t="n">
        <v>2.999999999998693</v>
      </c>
      <c r="M41" s="11" t="n">
        <v>2.000000000001023</v>
      </c>
      <c r="N41" s="11" t="n">
        <v>-0.9999999999976694</v>
      </c>
      <c r="O41" s="11" t="n">
        <v>-0.4999999999981242</v>
      </c>
      <c r="P41" s="11" t="n">
        <v>4.719858156028359</v>
      </c>
      <c r="Q41" s="11" t="n">
        <v>3.000000000000114</v>
      </c>
      <c r="R41" s="11" t="n">
        <v>5.315868694741793</v>
      </c>
      <c r="S41" s="11" t="n">
        <v>-0.5116488597089864</v>
      </c>
      <c r="T41" s="11" t="n">
        <v>-3.000000000000114</v>
      </c>
      <c r="U41" s="7" t="inlineStr">
        <is>
          <t>2026-09-10</t>
        </is>
      </c>
      <c r="V41" s="11" t="n">
        <v>21.99999999999993</v>
      </c>
      <c r="W41" s="7" t="inlineStr">
        <is>
          <t>2026-03-20</t>
        </is>
      </c>
      <c r="X41" s="11" t="n">
        <v>45.39007092198582</v>
      </c>
      <c r="Y41" s="11" t="n">
        <v>45.39007092198582</v>
      </c>
      <c r="Z41" s="11" t="n">
        <v>5.000000000001137</v>
      </c>
      <c r="AA41" s="11" t="n">
        <v>19.99999999999891</v>
      </c>
      <c r="AB41" s="11" t="n">
        <v>3.500000000002501</v>
      </c>
      <c r="AC41" s="11" t="n">
        <v>2.500000000000568</v>
      </c>
      <c r="AD41" s="11" t="n">
        <v>1.960487779352547</v>
      </c>
      <c r="AE41" s="7" t="inlineStr">
        <is>
          <t>NEUTRAL</t>
        </is>
      </c>
      <c r="AF41" s="7" t="inlineStr">
        <is>
          <t>No tail signal</t>
        </is>
      </c>
      <c r="AG41" s="11" t="n">
        <v>2.719858156027336</v>
      </c>
      <c r="AH41" s="7" t="inlineStr">
        <is>
          <t>LONG</t>
        </is>
      </c>
      <c r="AI41" s="7" t="inlineStr">
        <is>
          <t>PAY J8U27; RECEIVE J8Z28; RECEIVE IMU27; PAY IMZ28</t>
        </is>
      </c>
      <c r="AJ41" s="7" t="inlineStr">
        <is>
          <t>J8U27 +1, J8Z28 -1, IMU27 -1, IMZ28 +1</t>
        </is>
      </c>
    </row>
  </sheetData>
  <autoFilter ref="A1:AJ41"/>
  <conditionalFormatting sqref="X2:X4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S2:S41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A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  <col width="5" customWidth="1" min="4" max="4"/>
    <col width="25" customWidth="1" min="5" max="5"/>
    <col width="21" customWidth="1" min="6" max="6"/>
    <col width="20" customWidth="1" min="7" max="7"/>
    <col width="25" customWidth="1" min="8" max="8"/>
    <col width="23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19" customWidth="1" min="18" max="18"/>
    <col width="20" customWidth="1" min="19" max="19"/>
    <col width="20" customWidth="1" min="20" max="20"/>
    <col width="20" customWidth="1" min="21" max="21"/>
    <col width="25" customWidth="1" min="22" max="22"/>
    <col width="21" customWidth="1" min="23" max="23"/>
    <col width="20" customWidth="1" min="24" max="24"/>
    <col width="14" customWidth="1" min="25" max="25"/>
    <col width="45" customWidth="1" min="26" max="26"/>
    <col width="20" customWidth="1" min="27" max="27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</row>
    <row r="2">
      <c r="A2" s="8" t="inlineStr">
        <is>
          <t>GB_PEAK_CURV</t>
        </is>
      </c>
      <c r="B2" s="8" t="inlineStr">
        <is>
          <t>Peak richness to both wings; true peak fade is SHORT this level</t>
        </is>
      </c>
      <c r="C2" s="8" t="inlineStr">
        <is>
          <t>2× SONIA U27 − SONIA Z26 − SONIA Z28</t>
        </is>
      </c>
      <c r="D2" s="8" t="n">
        <v>141</v>
      </c>
      <c r="E2" s="10" t="n">
        <v>-11.50000000000091</v>
      </c>
      <c r="F2" s="10" t="n">
        <v>72.49999999999943</v>
      </c>
      <c r="G2" s="10" t="n">
        <v>72.49999999999943</v>
      </c>
      <c r="H2" s="10" t="n">
        <v>0</v>
      </c>
      <c r="I2" s="10" t="n">
        <v>84.00000000000034</v>
      </c>
      <c r="J2" s="10" t="n">
        <v>15.6241134751773</v>
      </c>
      <c r="K2" s="10" t="n">
        <v>11.49999999999949</v>
      </c>
      <c r="L2" s="10" t="n">
        <v>19.62789160029033</v>
      </c>
      <c r="M2" s="10" t="n">
        <v>2.897707389212444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98.58156028368793</v>
      </c>
      <c r="S2" s="10" t="n">
        <v>1.418439716312065</v>
      </c>
      <c r="T2" s="10" t="n">
        <v>85.49999999999893</v>
      </c>
      <c r="U2" s="10" t="n">
        <v>6.000000000000398</v>
      </c>
      <c r="V2" s="10" t="n">
        <v>4.000000000000625</v>
      </c>
      <c r="W2" s="10" t="n">
        <v>38.49999999999767</v>
      </c>
      <c r="X2" s="10" t="n">
        <v>4.269769929609727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56.87588652482214</v>
      </c>
    </row>
    <row r="3">
      <c r="A3" s="7" t="inlineStr">
        <is>
          <t>EU_PEAK_CURV</t>
        </is>
      </c>
      <c r="B3" s="7" t="inlineStr">
        <is>
          <t>Peak richness to both wings; true peak fade is SHORT this level</t>
        </is>
      </c>
      <c r="C3" s="7" t="inlineStr">
        <is>
          <t>2× Euribor U27 − Euribor Z26 − Euribor Z28</t>
        </is>
      </c>
      <c r="D3" s="7" t="n">
        <v>141</v>
      </c>
      <c r="E3" s="11" t="n">
        <v>-11.49999999999949</v>
      </c>
      <c r="F3" s="11" t="n">
        <v>60.00000000000085</v>
      </c>
      <c r="G3" s="11" t="n">
        <v>61.99999999999903</v>
      </c>
      <c r="H3" s="11" t="n">
        <v>1.999999999998181</v>
      </c>
      <c r="I3" s="11" t="n">
        <v>73.49999999999852</v>
      </c>
      <c r="J3" s="11" t="n">
        <v>10.48936170212762</v>
      </c>
      <c r="K3" s="11" t="n">
        <v>5.499999999999261</v>
      </c>
      <c r="L3" s="11" t="n">
        <v>17.82679244495158</v>
      </c>
      <c r="M3" s="11" t="n">
        <v>2.889506817164905</v>
      </c>
      <c r="N3" s="11" t="n">
        <v>-12.00000000000045</v>
      </c>
      <c r="O3" s="7" t="inlineStr">
        <is>
          <t>2026-03-04</t>
        </is>
      </c>
      <c r="P3" s="11" t="n">
        <v>68.99999999999977</v>
      </c>
      <c r="Q3" s="7" t="inlineStr">
        <is>
          <t>2026-09-14</t>
        </is>
      </c>
      <c r="R3" s="11" t="n">
        <v>97.87234042553192</v>
      </c>
      <c r="S3" s="11" t="n">
        <v>2.127659574468083</v>
      </c>
      <c r="T3" s="11" t="n">
        <v>73.99999999999949</v>
      </c>
      <c r="U3" s="11" t="n">
        <v>7.000000000000739</v>
      </c>
      <c r="V3" s="11" t="n">
        <v>-2.842170943040401e-12</v>
      </c>
      <c r="W3" s="11" t="n">
        <v>36.49999999999949</v>
      </c>
      <c r="X3" s="11" t="n">
        <v>3.778167592856631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51.51063829787142</v>
      </c>
    </row>
    <row r="4">
      <c r="A4" s="8" t="inlineStr">
        <is>
          <t>REL_BUILD</t>
        </is>
      </c>
      <c r="B4" s="8" t="inlineStr">
        <is>
          <t>BoE Dec-26→peak extension relative to ECB</t>
        </is>
      </c>
      <c r="C4" s="8" t="inlineStr">
        <is>
          <t>GB_BUILD − EU_BUILD</t>
        </is>
      </c>
      <c r="D4" s="8" t="n">
        <v>141</v>
      </c>
      <c r="E4" s="10" t="n">
        <v>-2.500000000000568</v>
      </c>
      <c r="F4" s="10" t="n">
        <v>9.499999999999886</v>
      </c>
      <c r="G4" s="10" t="n">
        <v>8.499999999999375</v>
      </c>
      <c r="H4" s="10" t="n">
        <v>-1.000000000000512</v>
      </c>
      <c r="I4" s="10" t="n">
        <v>10.99999999999994</v>
      </c>
      <c r="J4" s="10" t="n">
        <v>0.4148936170213229</v>
      </c>
      <c r="K4" s="10" t="n">
        <v>1.500000000000057</v>
      </c>
      <c r="L4" s="10" t="n">
        <v>6.218336205704359</v>
      </c>
      <c r="M4" s="10" t="n">
        <v>1.300204124627617</v>
      </c>
      <c r="N4" s="10" t="n">
        <v>-14.00000000000148</v>
      </c>
      <c r="O4" s="8" t="inlineStr">
        <is>
          <t>2026-03-19</t>
        </is>
      </c>
      <c r="P4" s="10" t="n">
        <v>10.5000000000004</v>
      </c>
      <c r="Q4" s="8" t="inlineStr">
        <is>
          <t>2026-09-10</t>
        </is>
      </c>
      <c r="R4" s="10" t="n">
        <v>90.78014184397163</v>
      </c>
      <c r="S4" s="10" t="n">
        <v>9.219858156028366</v>
      </c>
      <c r="T4" s="10" t="n">
        <v>22.50000000000085</v>
      </c>
      <c r="U4" s="10" t="n">
        <v>2.000000000001023</v>
      </c>
      <c r="V4" s="10" t="n">
        <v>0.5000000000009663</v>
      </c>
      <c r="W4" s="10" t="n">
        <v>-0.5000000000023874</v>
      </c>
      <c r="X4" s="10" t="n">
        <v>1.943696164279298</v>
      </c>
      <c r="Y4" s="19" t="inlineStr">
        <is>
          <t>WATCH HIGH</t>
        </is>
      </c>
      <c r="Z4" s="8" t="inlineStr">
        <is>
          <t>Lean SHORT</t>
        </is>
      </c>
      <c r="AA4" s="10" t="n">
        <v>8.085106382978053</v>
      </c>
    </row>
    <row r="5">
      <c r="A5" s="7" t="inlineStr">
        <is>
          <t>REL_CUT</t>
        </is>
      </c>
      <c r="B5" s="7" t="inlineStr">
        <is>
          <t>BoE post-peak reversal magnitude relative to ECB</t>
        </is>
      </c>
      <c r="C5" s="7" t="inlineStr">
        <is>
          <t>GB_CUT − EU_CUT</t>
        </is>
      </c>
      <c r="D5" s="7" t="n">
        <v>141</v>
      </c>
      <c r="E5" s="11" t="n">
        <v>2.499999999999147</v>
      </c>
      <c r="F5" s="11" t="n">
        <v>2.999999999998693</v>
      </c>
      <c r="G5" s="11" t="n">
        <v>2.000000000001023</v>
      </c>
      <c r="H5" s="11" t="n">
        <v>-0.9999999999976694</v>
      </c>
      <c r="I5" s="11" t="n">
        <v>-0.4999999999981242</v>
      </c>
      <c r="J5" s="11" t="n">
        <v>4.719858156028359</v>
      </c>
      <c r="K5" s="11" t="n">
        <v>3.000000000000114</v>
      </c>
      <c r="L5" s="11" t="n">
        <v>5.315868694741793</v>
      </c>
      <c r="M5" s="11" t="n">
        <v>-0.5116488597089864</v>
      </c>
      <c r="N5" s="11" t="n">
        <v>-3.000000000000114</v>
      </c>
      <c r="O5" s="7" t="inlineStr">
        <is>
          <t>2026-09-10</t>
        </is>
      </c>
      <c r="P5" s="11" t="n">
        <v>21.99999999999993</v>
      </c>
      <c r="Q5" s="7" t="inlineStr">
        <is>
          <t>2026-03-20</t>
        </is>
      </c>
      <c r="R5" s="11" t="n">
        <v>45.39007092198582</v>
      </c>
      <c r="S5" s="11" t="n">
        <v>45.39007092198582</v>
      </c>
      <c r="T5" s="11" t="n">
        <v>5.000000000001137</v>
      </c>
      <c r="U5" s="11" t="n">
        <v>19.99999999999891</v>
      </c>
      <c r="V5" s="11" t="n">
        <v>3.500000000002501</v>
      </c>
      <c r="W5" s="11" t="n">
        <v>2.500000000000568</v>
      </c>
      <c r="X5" s="11" t="n">
        <v>1.960487779352547</v>
      </c>
      <c r="Y5" s="7" t="inlineStr">
        <is>
          <t>NEUTRAL</t>
        </is>
      </c>
      <c r="Z5" s="7" t="inlineStr">
        <is>
          <t>No tail signal</t>
        </is>
      </c>
      <c r="AA5" s="11" t="n">
        <v>2.719858156027336</v>
      </c>
    </row>
    <row r="6">
      <c r="A6" s="8" t="inlineStr">
        <is>
          <t>REL_PEAK_CURV</t>
        </is>
      </c>
      <c r="B6" s="8" t="inlineStr">
        <is>
          <t>BoE peak curvature relative to ECB peak curvature</t>
        </is>
      </c>
      <c r="C6" s="8" t="inlineStr">
        <is>
          <t>GB_PEAK_CURV − EU_PEAK_CURV</t>
        </is>
      </c>
      <c r="D6" s="8" t="n">
        <v>141</v>
      </c>
      <c r="E6" s="10" t="n">
        <v>-1.4210854715202e-12</v>
      </c>
      <c r="F6" s="10" t="n">
        <v>12.49999999999858</v>
      </c>
      <c r="G6" s="10" t="n">
        <v>10.5000000000004</v>
      </c>
      <c r="H6" s="10" t="n">
        <v>-1.999999999998181</v>
      </c>
      <c r="I6" s="10" t="n">
        <v>10.50000000000182</v>
      </c>
      <c r="J6" s="10" t="n">
        <v>5.134751773049683</v>
      </c>
      <c r="K6" s="10" t="n">
        <v>5.49999999999784</v>
      </c>
      <c r="L6" s="10" t="n">
        <v>3.603014329609705</v>
      </c>
      <c r="M6" s="10" t="n">
        <v>1.489099885853605</v>
      </c>
      <c r="N6" s="10" t="n">
        <v>-3.000000000000158</v>
      </c>
      <c r="O6" s="8" t="inlineStr">
        <is>
          <t>2026-04-17</t>
        </is>
      </c>
      <c r="P6" s="10" t="n">
        <v>14.99999999999915</v>
      </c>
      <c r="Q6" s="8" t="inlineStr">
        <is>
          <t>2026-05-18</t>
        </is>
      </c>
      <c r="R6" s="10" t="n">
        <v>94.32624113475178</v>
      </c>
      <c r="S6" s="10" t="n">
        <v>5.673758865248217</v>
      </c>
      <c r="T6" s="10" t="n">
        <v>13.50000000000056</v>
      </c>
      <c r="U6" s="10" t="n">
        <v>4.499999999998749</v>
      </c>
      <c r="V6" s="10" t="n">
        <v>4.000000000003467</v>
      </c>
      <c r="W6" s="10" t="n">
        <v>1.999999999998181</v>
      </c>
      <c r="X6" s="10" t="n">
        <v>2.706855804309456</v>
      </c>
      <c r="Y6" s="19" t="inlineStr">
        <is>
          <t>WATCH HIGH</t>
        </is>
      </c>
      <c r="Z6" s="8" t="inlineStr">
        <is>
          <t>Lean SHORT</t>
        </is>
      </c>
      <c r="AA6" s="10" t="n">
        <v>5.365248226950715</v>
      </c>
    </row>
    <row r="7">
      <c r="A7" s="7" t="inlineStr">
        <is>
          <t>GB_FRONT_BACK</t>
        </is>
      </c>
      <c r="B7" s="7" t="inlineStr">
        <is>
          <t>Peak cancels: this is front-to-back slope, not a peak trade</t>
        </is>
      </c>
      <c r="C7" s="7" t="inlineStr">
        <is>
          <t>SONIA Z28 − SONIA Z26</t>
        </is>
      </c>
      <c r="D7" s="7" t="n">
        <v>141</v>
      </c>
      <c r="E7" s="11" t="n">
        <v>24.50000000000045</v>
      </c>
      <c r="F7" s="11" t="n">
        <v>40.50000000000011</v>
      </c>
      <c r="G7" s="11" t="n">
        <v>41.4999999999992</v>
      </c>
      <c r="H7" s="11" t="n">
        <v>0.9999999999990905</v>
      </c>
      <c r="I7" s="11" t="n">
        <v>16.99999999999875</v>
      </c>
      <c r="J7" s="11" t="n">
        <v>3.375886524822678</v>
      </c>
      <c r="K7" s="11" t="n">
        <v>4.000000000000625</v>
      </c>
      <c r="L7" s="11" t="n">
        <v>21.33651765906511</v>
      </c>
      <c r="M7" s="11" t="n">
        <v>1.786801111800874</v>
      </c>
      <c r="N7" s="11" t="n">
        <v>-44.49999999999932</v>
      </c>
      <c r="O7" s="7" t="inlineStr">
        <is>
          <t>2026-03-20</t>
        </is>
      </c>
      <c r="P7" s="11" t="n">
        <v>48.49999999999994</v>
      </c>
      <c r="Q7" s="7" t="inlineStr">
        <is>
          <t>2026-09-15</t>
        </is>
      </c>
      <c r="R7" s="11" t="n">
        <v>96.45390070921985</v>
      </c>
      <c r="S7" s="11" t="n">
        <v>3.546099290780148</v>
      </c>
      <c r="T7" s="11" t="n">
        <v>85.99999999999852</v>
      </c>
      <c r="U7" s="11" t="n">
        <v>7.000000000000739</v>
      </c>
      <c r="V7" s="11" t="n">
        <v>-7.000000000000739</v>
      </c>
      <c r="W7" s="11" t="n">
        <v>15.49999999999869</v>
      </c>
      <c r="X7" s="11" t="n">
        <v>4.970731395516351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38.12411347517653</v>
      </c>
    </row>
    <row r="8">
      <c r="A8" s="8" t="inlineStr">
        <is>
          <t>EU_FRONT_BACK</t>
        </is>
      </c>
      <c r="B8" s="8" t="inlineStr">
        <is>
          <t>Peak cancels: this is front-to-back slope, not a peak trade</t>
        </is>
      </c>
      <c r="C8" s="8" t="inlineStr">
        <is>
          <t>Euribor Z28 − Euribor Z26</t>
        </is>
      </c>
      <c r="D8" s="8" t="n">
        <v>141</v>
      </c>
      <c r="E8" s="10" t="n">
        <v>29.50000000000017</v>
      </c>
      <c r="F8" s="10" t="n">
        <v>33.99999999999892</v>
      </c>
      <c r="G8" s="10" t="n">
        <v>35.00000000000085</v>
      </c>
      <c r="H8" s="10" t="n">
        <v>1.000000000001933</v>
      </c>
      <c r="I8" s="10" t="n">
        <v>5.500000000000682</v>
      </c>
      <c r="J8" s="10" t="n">
        <v>7.680851063829716</v>
      </c>
      <c r="K8" s="10" t="n">
        <v>6.499999999999773</v>
      </c>
      <c r="L8" s="10" t="n">
        <v>12.74660691485952</v>
      </c>
      <c r="M8" s="10" t="n">
        <v>2.143248718552972</v>
      </c>
      <c r="N8" s="10" t="n">
        <v>-12.5</v>
      </c>
      <c r="O8" s="8" t="inlineStr">
        <is>
          <t>2026-05-05</t>
        </is>
      </c>
      <c r="P8" s="10" t="n">
        <v>40.50000000000011</v>
      </c>
      <c r="Q8" s="8" t="inlineStr">
        <is>
          <t>2026-09-18</t>
        </is>
      </c>
      <c r="R8" s="10" t="n">
        <v>97.16312056737588</v>
      </c>
      <c r="S8" s="10" t="n">
        <v>2.836879432624116</v>
      </c>
      <c r="T8" s="10" t="n">
        <v>47.50000000000085</v>
      </c>
      <c r="U8" s="10" t="n">
        <v>5.499999999999261</v>
      </c>
      <c r="V8" s="10" t="n">
        <v>-3.999999999999204</v>
      </c>
      <c r="W8" s="10" t="n">
        <v>18.50000000000165</v>
      </c>
      <c r="X8" s="10" t="n">
        <v>3.604088334591107</v>
      </c>
      <c r="Y8" s="18" t="inlineStr">
        <is>
          <t>EXTREME HIGH</t>
        </is>
      </c>
      <c r="Z8" s="8" t="inlineStr">
        <is>
          <t>SHORT level / receive positive-rate weights</t>
        </is>
      </c>
      <c r="AA8" s="10" t="n">
        <v>27.31914893617114</v>
      </c>
    </row>
    <row r="9">
      <c r="A9" s="7" t="inlineStr">
        <is>
          <t>REL_FRONT_BACK</t>
        </is>
      </c>
      <c r="B9" s="7" t="inlineStr">
        <is>
          <t>Relative Dec-26→Dec-28 slope</t>
        </is>
      </c>
      <c r="C9" s="7" t="inlineStr">
        <is>
          <t>GB_FRONT_BACK − EU_FRONT_BACK</t>
        </is>
      </c>
      <c r="D9" s="7" t="n">
        <v>141</v>
      </c>
      <c r="E9" s="11" t="n">
        <v>-4.999999999999716</v>
      </c>
      <c r="F9" s="11" t="n">
        <v>6.500000000001194</v>
      </c>
      <c r="G9" s="11" t="n">
        <v>6.499999999998352</v>
      </c>
      <c r="H9" s="11" t="n">
        <v>-2.842170943040401e-12</v>
      </c>
      <c r="I9" s="11" t="n">
        <v>11.49999999999807</v>
      </c>
      <c r="J9" s="11" t="n">
        <v>-4.304964539007036</v>
      </c>
      <c r="K9" s="11" t="n">
        <v>-1.500000000000057</v>
      </c>
      <c r="L9" s="11" t="n">
        <v>10.99411742862728</v>
      </c>
      <c r="M9" s="11" t="n">
        <v>0.982795081929054</v>
      </c>
      <c r="N9" s="11" t="n">
        <v>-33.49999999999942</v>
      </c>
      <c r="O9" s="7" t="inlineStr">
        <is>
          <t>2026-03-20</t>
        </is>
      </c>
      <c r="P9" s="11" t="n">
        <v>13.50000000000051</v>
      </c>
      <c r="Q9" s="7" t="inlineStr">
        <is>
          <t>2026-09-10</t>
        </is>
      </c>
      <c r="R9" s="11" t="n">
        <v>82.26950354609929</v>
      </c>
      <c r="S9" s="11" t="n">
        <v>17.73049645390071</v>
      </c>
      <c r="T9" s="11" t="n">
        <v>39.99999999999777</v>
      </c>
      <c r="U9" s="11" t="n">
        <v>7.00000000000216</v>
      </c>
      <c r="V9" s="11" t="n">
        <v>-3.000000000001535</v>
      </c>
      <c r="W9" s="11" t="n">
        <v>-3.000000000002956</v>
      </c>
      <c r="X9" s="11" t="n">
        <v>2.813514862005474</v>
      </c>
      <c r="Y9" s="7" t="inlineStr">
        <is>
          <t>NEUTRAL</t>
        </is>
      </c>
      <c r="Z9" s="7" t="inlineStr">
        <is>
          <t>No tail signal</t>
        </is>
      </c>
      <c r="AA9" s="11" t="n">
        <v>10.80496453900539</v>
      </c>
    </row>
    <row r="10">
      <c r="A10" s="8" t="inlineStr">
        <is>
          <t>GB_BUILD_MINUS_EU_CUT</t>
        </is>
      </c>
      <c r="B10" s="8" t="inlineStr">
        <is>
          <t>Mixed-horizon cross; user's example, but factors need not hedge</t>
        </is>
      </c>
      <c r="C10" s="8" t="inlineStr">
        <is>
          <t>GB_BUILD − EU_CUT</t>
        </is>
      </c>
      <c r="D10" s="8" t="n">
        <v>141</v>
      </c>
      <c r="E10" s="10" t="n">
        <v>26.9999999999996</v>
      </c>
      <c r="F10" s="10" t="n">
        <v>43.49999999999881</v>
      </c>
      <c r="G10" s="10" t="n">
        <v>43.50000000000023</v>
      </c>
      <c r="H10" s="10" t="n">
        <v>1.4210854715202e-12</v>
      </c>
      <c r="I10" s="10" t="n">
        <v>16.50000000000063</v>
      </c>
      <c r="J10" s="10" t="n">
        <v>8.095744680851038</v>
      </c>
      <c r="K10" s="10" t="n">
        <v>6.499999999999773</v>
      </c>
      <c r="L10" s="10" t="n">
        <v>17.10951227634341</v>
      </c>
      <c r="M10" s="10" t="n">
        <v>2.069273205882153</v>
      </c>
      <c r="N10" s="10" t="n">
        <v>-23.0000000000004</v>
      </c>
      <c r="O10" s="8" t="inlineStr">
        <is>
          <t>2026-03-19</t>
        </is>
      </c>
      <c r="P10" s="10" t="n">
        <v>50.00000000000009</v>
      </c>
      <c r="Q10" s="8" t="inlineStr">
        <is>
          <t>2026-09-18</t>
        </is>
      </c>
      <c r="R10" s="10" t="n">
        <v>97.87234042553192</v>
      </c>
      <c r="S10" s="10" t="n">
        <v>2.127659574468083</v>
      </c>
      <c r="T10" s="10" t="n">
        <v>66.50000000000063</v>
      </c>
      <c r="U10" s="10" t="n">
        <v>6.499999999999858</v>
      </c>
      <c r="V10" s="10" t="n">
        <v>-3.499999999998238</v>
      </c>
      <c r="W10" s="10" t="n">
        <v>17.99999999999926</v>
      </c>
      <c r="X10" s="10" t="n">
        <v>4.369865214607144</v>
      </c>
      <c r="Y10" s="18" t="inlineStr">
        <is>
          <t>EXTREME HIGH</t>
        </is>
      </c>
      <c r="Z10" s="8" t="inlineStr">
        <is>
          <t>SHORT level / receive positive-rate weights</t>
        </is>
      </c>
      <c r="AA10" s="10" t="n">
        <v>35.40425531914919</v>
      </c>
    </row>
    <row r="11">
      <c r="A11" s="7" t="inlineStr">
        <is>
          <t>GB_CUT_MINUS_EU_BUILD</t>
        </is>
      </c>
      <c r="B11" s="7" t="inlineStr">
        <is>
          <t>Mixed-horizon cross; factors need not hedge</t>
        </is>
      </c>
      <c r="C11" s="7" t="inlineStr">
        <is>
          <t>GB_CUT − EU_BUILD</t>
        </is>
      </c>
      <c r="D11" s="7" t="n">
        <v>141</v>
      </c>
      <c r="E11" s="11" t="n">
        <v>-27.00000000000102</v>
      </c>
      <c r="F11" s="11" t="n">
        <v>-31.00000000000023</v>
      </c>
      <c r="G11" s="11" t="n">
        <v>-32.99999999999983</v>
      </c>
      <c r="H11" s="11" t="n">
        <v>-1.999999999999602</v>
      </c>
      <c r="I11" s="11" t="n">
        <v>-5.999999999998806</v>
      </c>
      <c r="J11" s="11" t="n">
        <v>-2.960992907801356</v>
      </c>
      <c r="K11" s="11" t="n">
        <v>-3.499999999999659</v>
      </c>
      <c r="L11" s="11" t="n">
        <v>16.4633869673181</v>
      </c>
      <c r="M11" s="11" t="n">
        <v>-1.824594608134382</v>
      </c>
      <c r="N11" s="11" t="n">
        <v>-40.50000000000153</v>
      </c>
      <c r="O11" s="7" t="inlineStr">
        <is>
          <t>2026-09-15</t>
        </is>
      </c>
      <c r="P11" s="11" t="n">
        <v>32.99999999999983</v>
      </c>
      <c r="Q11" s="7" t="inlineStr">
        <is>
          <t>2026-03-20</t>
        </is>
      </c>
      <c r="R11" s="11" t="n">
        <v>5.673758865248227</v>
      </c>
      <c r="S11" s="11" t="n">
        <v>5.673758865248227</v>
      </c>
      <c r="T11" s="11" t="n">
        <v>7.500000000001705</v>
      </c>
      <c r="U11" s="11" t="n">
        <v>65.99999999999966</v>
      </c>
      <c r="V11" s="11" t="n">
        <v>7.500000000001705</v>
      </c>
      <c r="W11" s="11" t="n">
        <v>-16.00000000000108</v>
      </c>
      <c r="X11" s="11" t="n">
        <v>4.278726746284827</v>
      </c>
      <c r="Y11" s="19" t="inlineStr">
        <is>
          <t>WATCH LOW</t>
        </is>
      </c>
      <c r="Z11" s="7" t="inlineStr">
        <is>
          <t>Lean LONG</t>
        </is>
      </c>
      <c r="AA11" s="11" t="n">
        <v>30.03900709219847</v>
      </c>
    </row>
  </sheetData>
  <autoFilter ref="A1:AA11"/>
  <conditionalFormatting sqref="R2:R1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1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22" customWidth="1" min="4" max="4"/>
    <col width="23" customWidth="1" min="5" max="5"/>
  </cols>
  <sheetData>
    <row r="1" ht="34" customHeight="1">
      <c r="A1" s="6" t="inlineStr">
        <is>
          <t>dependent / row</t>
        </is>
      </c>
      <c r="B1" s="6" t="inlineStr">
        <is>
          <t>GB_BUILD</t>
        </is>
      </c>
      <c r="C1" s="6" t="inlineStr">
        <is>
          <t>GB_CUT</t>
        </is>
      </c>
      <c r="D1" s="6" t="inlineStr">
        <is>
          <t>EU_BUILD</t>
        </is>
      </c>
      <c r="E1" s="6" t="inlineStr">
        <is>
          <t>EU_CUT</t>
        </is>
      </c>
    </row>
    <row r="2">
      <c r="A2" s="8" t="inlineStr">
        <is>
          <t>GB_BUILD</t>
        </is>
      </c>
      <c r="B2" s="8" t="n">
        <v>1</v>
      </c>
      <c r="C2" s="8" t="n">
        <v>-0.1512503549233467</v>
      </c>
      <c r="D2" s="8" t="n">
        <v>0.8240612891904722</v>
      </c>
      <c r="E2" s="8" t="n">
        <v>-0.01371723175966883</v>
      </c>
    </row>
    <row r="3">
      <c r="A3" s="7" t="inlineStr">
        <is>
          <t>GB_CUT</t>
        </is>
      </c>
      <c r="B3" s="7" t="n">
        <v>-0.1512503549233467</v>
      </c>
      <c r="C3" s="7" t="n">
        <v>1</v>
      </c>
      <c r="D3" s="7" t="n">
        <v>-0.1293653658515462</v>
      </c>
      <c r="E3" s="7" t="n">
        <v>0.7866725311684148</v>
      </c>
    </row>
    <row r="4">
      <c r="A4" s="8" t="inlineStr">
        <is>
          <t>EU_BUILD</t>
        </is>
      </c>
      <c r="B4" s="8" t="n">
        <v>0.8240612891904722</v>
      </c>
      <c r="C4" s="8" t="n">
        <v>-0.1293653658515462</v>
      </c>
      <c r="D4" s="8" t="n">
        <v>1</v>
      </c>
      <c r="E4" s="8" t="n">
        <v>0.04726756034740665</v>
      </c>
    </row>
    <row r="5">
      <c r="A5" s="7" t="inlineStr">
        <is>
          <t>EU_CUT</t>
        </is>
      </c>
      <c r="B5" s="7" t="n">
        <v>-0.01371723175966883</v>
      </c>
      <c r="C5" s="7" t="n">
        <v>0.7866725311684148</v>
      </c>
      <c r="D5" s="7" t="n">
        <v>0.04726756034740665</v>
      </c>
      <c r="E5" s="7" t="n">
        <v>1</v>
      </c>
    </row>
  </sheetData>
  <autoFilter ref="A1:E5"/>
  <conditionalFormatting sqref="B2:E5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22" customWidth="1" min="4" max="4"/>
    <col width="23" customWidth="1" min="5" max="5"/>
  </cols>
  <sheetData>
    <row r="1" ht="34" customHeight="1">
      <c r="A1" s="6" t="inlineStr">
        <is>
          <t>dependent / row</t>
        </is>
      </c>
      <c r="B1" s="6" t="inlineStr">
        <is>
          <t>GB_BUILD</t>
        </is>
      </c>
      <c r="C1" s="6" t="inlineStr">
        <is>
          <t>GB_CUT</t>
        </is>
      </c>
      <c r="D1" s="6" t="inlineStr">
        <is>
          <t>EU_BUILD</t>
        </is>
      </c>
      <c r="E1" s="6" t="inlineStr">
        <is>
          <t>EU_CUT</t>
        </is>
      </c>
    </row>
    <row r="2">
      <c r="A2" s="8" t="inlineStr">
        <is>
          <t>GB_BUILD</t>
        </is>
      </c>
      <c r="B2" s="8" t="n">
        <v>1</v>
      </c>
      <c r="C2" s="8" t="n">
        <v>-0.1530997304581894</v>
      </c>
      <c r="D2" s="8" t="n">
        <v>1.115742044494521</v>
      </c>
      <c r="E2" s="8" t="n">
        <v>-0.005114466634178157</v>
      </c>
    </row>
    <row r="3">
      <c r="A3" s="7" t="inlineStr">
        <is>
          <t>GB_CUT</t>
        </is>
      </c>
      <c r="B3" s="7" t="n">
        <v>-0.1315423807317986</v>
      </c>
      <c r="C3" s="7" t="n">
        <v>1</v>
      </c>
      <c r="D3" s="7" t="n">
        <v>-0.1498169529709932</v>
      </c>
      <c r="E3" s="7" t="n">
        <v>0.9174378957623146</v>
      </c>
    </row>
    <row r="4">
      <c r="A4" s="8" t="inlineStr">
        <is>
          <t>EU_BUILD</t>
        </is>
      </c>
      <c r="B4" s="8" t="n">
        <v>0.611702948896077</v>
      </c>
      <c r="C4" s="8" t="n">
        <v>-0.0955974842767213</v>
      </c>
      <c r="D4" s="8" t="n">
        <v>1</v>
      </c>
      <c r="E4" s="8" t="n">
        <v>0.05284948855332053</v>
      </c>
    </row>
    <row r="5">
      <c r="A5" s="7" t="inlineStr">
        <is>
          <t>EU_CUT</t>
        </is>
      </c>
      <c r="B5" s="7" t="n">
        <v>-0.003242241778591379</v>
      </c>
      <c r="C5" s="7" t="n">
        <v>0.6769092542677554</v>
      </c>
      <c r="D5" s="7" t="n">
        <v>0.06110954660657595</v>
      </c>
      <c r="E5" s="7" t="n">
        <v>1</v>
      </c>
    </row>
  </sheetData>
  <autoFilter ref="A1:E5"/>
  <conditionalFormatting sqref="B2:E5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2026-09-23T01:49:38Z</dcterms:created>
  <dcterms:modified xmlns:dcterms="http://purl.org/dc/terms/" xmlns:xsi="http://www.w3.org/2001/XMLSchema-instance" xsi:type="dcterms:W3CDTF">2026-09-23T01:49:38Z</dcterms:modified>
</cp:coreProperties>
</file>